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jf\Documents\Lehre\Sonstiges\Moodle Randomized\Excel Examples V3\"/>
    </mc:Choice>
  </mc:AlternateContent>
  <bookViews>
    <workbookView xWindow="0" yWindow="0" windowWidth="23040" windowHeight="9375" activeTab="1"/>
  </bookViews>
  <sheets>
    <sheet name="Gen_output" sheetId="3" r:id="rId1"/>
    <sheet name="questions" sheetId="1" r:id="rId2"/>
    <sheet name="Response_Matrix" sheetId="4" r:id="rId3"/>
    <sheet name="Rnd_Matrix" sheetId="5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4" l="1"/>
  <c r="A13" i="4"/>
  <c r="A14" i="4"/>
  <c r="A15" i="4"/>
  <c r="AF13" i="4" l="1"/>
  <c r="AE13" i="4"/>
  <c r="AD13" i="4"/>
  <c r="AC13" i="4"/>
  <c r="AB13" i="4"/>
  <c r="AA13" i="4"/>
  <c r="Z13" i="4"/>
  <c r="Y13" i="4"/>
  <c r="X13" i="4"/>
  <c r="B23" i="3" l="1"/>
  <c r="A20" i="4" l="1"/>
  <c r="A23" i="4" l="1"/>
  <c r="A6" i="4"/>
  <c r="A7" i="4"/>
  <c r="A8" i="4"/>
  <c r="A9" i="4"/>
  <c r="A10" i="4"/>
  <c r="A11" i="4"/>
  <c r="A21" i="4"/>
  <c r="A22" i="4"/>
  <c r="A4" i="4"/>
  <c r="A5" i="4"/>
  <c r="X5" i="4" s="1"/>
  <c r="Z9" i="4" l="1"/>
  <c r="X9" i="4"/>
  <c r="AB9" i="4"/>
  <c r="AA9" i="4"/>
  <c r="Y9" i="4"/>
  <c r="X7" i="4"/>
  <c r="Z7" i="4"/>
  <c r="Y7" i="4"/>
  <c r="AE12" i="4"/>
  <c r="AC12" i="4"/>
  <c r="Z12" i="4"/>
  <c r="X12" i="4"/>
  <c r="AB12" i="4"/>
  <c r="AA12" i="4"/>
  <c r="Y12" i="4"/>
  <c r="AD12" i="4"/>
  <c r="X6" i="4"/>
  <c r="Y6" i="4"/>
  <c r="AD11" i="4"/>
  <c r="AC11" i="4"/>
  <c r="Z11" i="4"/>
  <c r="X11" i="4"/>
  <c r="AB11" i="4"/>
  <c r="AA11" i="4"/>
  <c r="Y11" i="4"/>
  <c r="Z10" i="4"/>
  <c r="X10" i="4"/>
  <c r="AC10" i="4"/>
  <c r="AB10" i="4"/>
  <c r="AA10" i="4"/>
  <c r="Y10" i="4"/>
  <c r="X8" i="4"/>
  <c r="AA8" i="4"/>
  <c r="Y8" i="4"/>
  <c r="Z8" i="4"/>
  <c r="K2" i="4"/>
  <c r="V2" i="4" s="1"/>
  <c r="J2" i="4"/>
  <c r="U2" i="4" s="1"/>
  <c r="I2" i="4"/>
  <c r="T2" i="4" s="1"/>
  <c r="H2" i="4"/>
  <c r="S2" i="4" s="1"/>
  <c r="G2" i="4"/>
  <c r="R2" i="4" s="1"/>
  <c r="F2" i="4"/>
  <c r="Q2" i="4" s="1"/>
  <c r="E2" i="4"/>
  <c r="P2" i="4" s="1"/>
  <c r="D2" i="4"/>
  <c r="O2" i="4" s="1"/>
  <c r="C2" i="4"/>
  <c r="N2" i="4" s="1"/>
  <c r="B2" i="4"/>
  <c r="M2" i="4" s="1"/>
  <c r="Q1" i="4" l="1"/>
  <c r="Y1" i="4"/>
</calcChain>
</file>

<file path=xl/sharedStrings.xml><?xml version="1.0" encoding="utf-8"?>
<sst xmlns="http://schemas.openxmlformats.org/spreadsheetml/2006/main" count="98" uniqueCount="93">
  <si>
    <t>Select</t>
  </si>
  <si>
    <t>Correct</t>
  </si>
  <si>
    <t>Text</t>
  </si>
  <si>
    <t>question type</t>
  </si>
  <si>
    <t>Points</t>
  </si>
  <si>
    <t>question numbers</t>
  </si>
  <si>
    <t>cat/dif</t>
  </si>
  <si>
    <t>level/category</t>
  </si>
  <si>
    <t>Intro Text:</t>
  </si>
  <si>
    <t>count</t>
  </si>
  <si>
    <t>Path:</t>
  </si>
  <si>
    <t>Filename:</t>
  </si>
  <si>
    <t>Ex. Name:</t>
  </si>
  <si>
    <t>Incl. Number</t>
  </si>
  <si>
    <t>html</t>
  </si>
  <si>
    <t>generalfeedback</t>
  </si>
  <si>
    <t>hint</t>
  </si>
  <si>
    <t>penalty</t>
  </si>
  <si>
    <t>Absolutely.</t>
  </si>
  <si>
    <t>Response generator for moodle clozed quizes - single choice multiple response; Prof. Dr. Joe Fensterle, HSRW Kleve</t>
  </si>
  <si>
    <t>File export:</t>
  </si>
  <si>
    <t>Min choices</t>
  </si>
  <si>
    <t>Max choices</t>
  </si>
  <si>
    <t>Resp is</t>
  </si>
  <si>
    <t>Resp set</t>
  </si>
  <si>
    <t>Number choices</t>
  </si>
  <si>
    <t>Max inverted</t>
  </si>
  <si>
    <t>Identisch?</t>
  </si>
  <si>
    <t>ID-Matrix (max 10 optionen)</t>
  </si>
  <si>
    <t>Comment (not included for single choice multiple response questions!)</t>
  </si>
  <si>
    <t>Text statements:</t>
  </si>
  <si>
    <t>all changed?</t>
  </si>
  <si>
    <t>MCVS</t>
  </si>
  <si>
    <t>0.333</t>
  </si>
  <si>
    <t>No Moodle Questions</t>
  </si>
  <si>
    <t>Statements per question</t>
  </si>
  <si>
    <t>Outputt settings</t>
  </si>
  <si>
    <t>Combination settings</t>
  </si>
  <si>
    <t>The drawing represents a duck.</t>
  </si>
  <si>
    <t>The drawing contains the typical duck face - namely the duck beak.</t>
  </si>
  <si>
    <t>Yes - the beak is the duck face!</t>
  </si>
  <si>
    <t>The legs of the duck are perfectly drawn.</t>
  </si>
  <si>
    <t>Not really - have you ever seen a duck before?</t>
  </si>
  <si>
    <t>The obvious intention of the artist was to draw a photorealistic duck.</t>
  </si>
  <si>
    <t>Hopefully not!!</t>
  </si>
  <si>
    <t>Ducks are birds known for their beautiful singing.</t>
  </si>
  <si>
    <t>Aeeh - have you ever heard a duck singing??</t>
  </si>
  <si>
    <t>Absolutely - I would even say that the majority of duckfaces in the internet are worse.</t>
  </si>
  <si>
    <t>I have seen pictures in the internet with worse duckfaces.</t>
  </si>
  <si>
    <t>Honestly, I cannot see much talent in this drawing.</t>
  </si>
  <si>
    <t>Absolutely - even not with an electron microscope!</t>
  </si>
  <si>
    <t>Monet would certainly agree to assign this drawing to impressionism.</t>
  </si>
  <si>
    <t>Aeeeh - no, Monet would rather shoot himself.</t>
  </si>
  <si>
    <t>I would expect that the artist took at least 4 weeks for this drawing.</t>
  </si>
  <si>
    <t>Well, I know the artist - and anything more then 2 minutes for such a drawing would be a shame.</t>
  </si>
  <si>
    <t>I would put this artist in line with Michelangelo, Picasso and Mondrian.</t>
  </si>
  <si>
    <t>I would put this artist in line with the inventors of the crazy frog ring tones and the less talented followers of Bob Ross.</t>
  </si>
  <si>
    <t>Some quality differences between David from Michelangelo and this duck are visible.</t>
  </si>
  <si>
    <t>Some? I would say there is absolutely nothing in common!</t>
  </si>
  <si>
    <t>Maybe it would be fair for the artist to convince him that arts might not be the best option for a professional carreer.</t>
  </si>
  <si>
    <t>Ayyy - absolutely, look out for something else. Maybe stapling?</t>
  </si>
  <si>
    <t>duck quiz - MR-SC.xml</t>
  </si>
  <si>
    <t>Duck quiz MR-SC</t>
  </si>
  <si>
    <t>Questions</t>
  </si>
  <si>
    <t>&lt;b&gt;Question:&lt;/b&gt;&lt;/p&gt;&lt;p&gt;Please decide, which of the following combinations is correct. Only one response is correct.</t>
  </si>
  <si>
    <t>x</t>
  </si>
  <si>
    <t>Resp</t>
  </si>
  <si>
    <t>ImgLink</t>
  </si>
  <si>
    <t>https://i.ibb.co/b2B067p/Ente1.jpg</t>
  </si>
  <si>
    <t>https://i.ibb.co/7RTLJsV/Ente2.jpg</t>
  </si>
  <si>
    <t>https://i.ibb.co/CMMt43W/Ente3.jpg</t>
  </si>
  <si>
    <t>Generic</t>
  </si>
  <si>
    <t>1</t>
  </si>
  <si>
    <t>I</t>
  </si>
  <si>
    <t>2</t>
  </si>
  <si>
    <t>II</t>
  </si>
  <si>
    <t>k</t>
  </si>
  <si>
    <t>A</t>
  </si>
  <si>
    <t>a</t>
  </si>
  <si>
    <t>i</t>
  </si>
  <si>
    <t>B</t>
  </si>
  <si>
    <t>b</t>
  </si>
  <si>
    <t>h</t>
  </si>
  <si>
    <t>Number substitute matrix values?</t>
  </si>
  <si>
    <t>(substitute values in random matrix; 0: rnd_matrix not used)</t>
  </si>
  <si>
    <t>C:\Users\jf\Documents\Lehre\Sonstiges\Moodle Randomized\Excel Examples V3\xml\</t>
  </si>
  <si>
    <t xml:space="preserve">The tail of the duck depicted in (##4;) might differ in different species. </t>
  </si>
  <si>
    <t>Oh yes!</t>
  </si>
  <si>
    <t xml:space="preserve">The tail of the duck depicted in (##1;) might differ in different species. </t>
  </si>
  <si>
    <t>Well - might be, but ##1; is a beak!</t>
  </si>
  <si>
    <t>Usually, (##1;) and (##4;) is connected to the head of the duck.</t>
  </si>
  <si>
    <t>Have you ever seen feet on the head??</t>
  </si>
  <si>
    <t>&lt;h3&gt;Duck quiz&lt;/h3&gt;&lt;b&gt;Ducks are important species of the planet.&lt;/b&gt; &lt;/p&gt;&lt;p&gt;The following picture of a duck comes from an unknown artist.&lt;/p&gt;&lt;p&gt;&lt;img src="##ImgLink;" alt="##DatName;" width="348" height = "400" role="presentation" class="img-fluid"&gt;&lt;/p&gt;&lt;p&gt;&lt;b&gt;Statements:&lt;/b&gt;&lt;br&gt;The following statements refer to the picture: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</si>
</sst>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5" xfId="0" applyBorder="1"/>
    <xf numFmtId="0" fontId="0" fillId="0" borderId="6" xfId="0" applyBorder="1"/>
    <xf numFmtId="0" fontId="0" fillId="0" borderId="3" xfId="0" applyFill="1" applyBorder="1"/>
    <xf numFmtId="0" fontId="0" fillId="0" borderId="6" xfId="0" applyFill="1" applyBorder="1"/>
    <xf numFmtId="9" fontId="0" fillId="0" borderId="3" xfId="0" applyNumberFormat="1" applyFill="1" applyBorder="1"/>
    <xf numFmtId="0" fontId="0" fillId="2" borderId="7" xfId="0" applyFill="1" applyBorder="1"/>
    <xf numFmtId="0" fontId="0" fillId="0" borderId="8" xfId="0" applyFill="1" applyBorder="1"/>
    <xf numFmtId="0" fontId="0" fillId="0" borderId="0" xfId="0" applyBorder="1"/>
    <xf numFmtId="0" fontId="0" fillId="0" borderId="0" xfId="0" quotePrefix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1" fillId="0" borderId="1" xfId="0" applyFont="1" applyBorder="1"/>
    <xf numFmtId="0" fontId="3" fillId="0" borderId="0" xfId="1"/>
    <xf numFmtId="0" fontId="0" fillId="0" borderId="0" xfId="0" applyAlignment="1">
      <alignment horizontal="left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5</xdr:row>
          <xdr:rowOff>76200</xdr:rowOff>
        </xdr:from>
        <xdr:to>
          <xdr:col>6</xdr:col>
          <xdr:colOff>514350</xdr:colOff>
          <xdr:row>7</xdr:row>
          <xdr:rowOff>161925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57150</xdr:rowOff>
        </xdr:from>
        <xdr:to>
          <xdr:col>5</xdr:col>
          <xdr:colOff>1181100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Questions!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i.ibb.co/CMMt43W/Ente3.jpg" TargetMode="External"/><Relationship Id="rId2" Type="http://schemas.openxmlformats.org/officeDocument/2006/relationships/hyperlink" Target="https://i.ibb.co/7RTLJsV/Ente2.jpg" TargetMode="External"/><Relationship Id="rId1" Type="http://schemas.openxmlformats.org/officeDocument/2006/relationships/hyperlink" Target="https://i.ibb.co/b2B067p/Ente1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F29"/>
  <sheetViews>
    <sheetView zoomScale="110" zoomScaleNormal="110" workbookViewId="0">
      <selection activeCell="C23" sqref="C23"/>
    </sheetView>
  </sheetViews>
  <sheetFormatPr baseColWidth="10" defaultRowHeight="15" x14ac:dyDescent="0.25"/>
  <cols>
    <col min="1" max="1" width="27" customWidth="1"/>
  </cols>
  <sheetData>
    <row r="1" spans="1:3" x14ac:dyDescent="0.25">
      <c r="A1" s="2" t="s">
        <v>19</v>
      </c>
    </row>
    <row r="3" spans="1:3" x14ac:dyDescent="0.25">
      <c r="A3" s="2" t="s">
        <v>20</v>
      </c>
    </row>
    <row r="4" spans="1:3" x14ac:dyDescent="0.25">
      <c r="A4" t="s">
        <v>10</v>
      </c>
      <c r="B4" t="s">
        <v>85</v>
      </c>
    </row>
    <row r="5" spans="1:3" x14ac:dyDescent="0.25">
      <c r="A5" t="s">
        <v>11</v>
      </c>
      <c r="B5" t="s">
        <v>61</v>
      </c>
    </row>
    <row r="6" spans="1:3" x14ac:dyDescent="0.25">
      <c r="A6" t="s">
        <v>12</v>
      </c>
      <c r="B6" t="s">
        <v>62</v>
      </c>
    </row>
    <row r="7" spans="1:3" x14ac:dyDescent="0.25">
      <c r="A7" t="s">
        <v>13</v>
      </c>
      <c r="B7" t="b">
        <v>0</v>
      </c>
    </row>
    <row r="8" spans="1:3" x14ac:dyDescent="0.25">
      <c r="A8" t="s">
        <v>15</v>
      </c>
      <c r="C8" t="s">
        <v>14</v>
      </c>
    </row>
    <row r="9" spans="1:3" x14ac:dyDescent="0.25">
      <c r="A9" t="s">
        <v>16</v>
      </c>
      <c r="B9" s="16"/>
      <c r="C9" t="s">
        <v>14</v>
      </c>
    </row>
    <row r="10" spans="1:3" x14ac:dyDescent="0.25">
      <c r="A10" t="s">
        <v>17</v>
      </c>
      <c r="B10" s="16" t="s">
        <v>33</v>
      </c>
    </row>
    <row r="11" spans="1:3" ht="15.75" thickBot="1" x14ac:dyDescent="0.3"/>
    <row r="12" spans="1:3" x14ac:dyDescent="0.25">
      <c r="A12" s="21" t="s">
        <v>37</v>
      </c>
      <c r="B12" s="17"/>
    </row>
    <row r="13" spans="1:3" x14ac:dyDescent="0.25">
      <c r="A13" s="18" t="s">
        <v>21</v>
      </c>
      <c r="B13" s="19">
        <v>2</v>
      </c>
    </row>
    <row r="14" spans="1:3" x14ac:dyDescent="0.25">
      <c r="A14" s="18" t="s">
        <v>22</v>
      </c>
      <c r="B14" s="19">
        <v>4</v>
      </c>
    </row>
    <row r="15" spans="1:3" x14ac:dyDescent="0.25">
      <c r="A15" s="18" t="s">
        <v>26</v>
      </c>
      <c r="B15" s="19">
        <v>2</v>
      </c>
    </row>
    <row r="16" spans="1:3" ht="15.75" thickBot="1" x14ac:dyDescent="0.3">
      <c r="A16" s="20" t="s">
        <v>25</v>
      </c>
      <c r="B16" s="9">
        <v>5</v>
      </c>
    </row>
    <row r="19" spans="1:6" ht="15.75" thickBot="1" x14ac:dyDescent="0.3">
      <c r="A19" t="s">
        <v>36</v>
      </c>
    </row>
    <row r="20" spans="1:6" x14ac:dyDescent="0.25">
      <c r="A20" s="3" t="s">
        <v>34</v>
      </c>
      <c r="B20" s="10">
        <v>6</v>
      </c>
    </row>
    <row r="21" spans="1:6" ht="15.75" thickBot="1" x14ac:dyDescent="0.3">
      <c r="A21" s="6" t="s">
        <v>35</v>
      </c>
      <c r="B21" s="11">
        <v>4</v>
      </c>
    </row>
    <row r="22" spans="1:6" x14ac:dyDescent="0.25">
      <c r="A22" s="3" t="s">
        <v>7</v>
      </c>
      <c r="B22" s="4">
        <v>1</v>
      </c>
      <c r="C22" s="4">
        <v>2</v>
      </c>
      <c r="D22" s="4">
        <v>3</v>
      </c>
      <c r="E22" s="4">
        <v>4</v>
      </c>
      <c r="F22" s="5">
        <v>5</v>
      </c>
    </row>
    <row r="23" spans="1:6" ht="15.75" thickBot="1" x14ac:dyDescent="0.3">
      <c r="A23" s="6" t="s">
        <v>5</v>
      </c>
      <c r="B23" s="7">
        <f>B21-SUM(C23:F23)</f>
        <v>2</v>
      </c>
      <c r="C23" s="8">
        <v>1</v>
      </c>
      <c r="D23" s="8">
        <v>1</v>
      </c>
      <c r="E23" s="8">
        <v>0</v>
      </c>
      <c r="F23" s="9">
        <v>0</v>
      </c>
    </row>
    <row r="24" spans="1:6" x14ac:dyDescent="0.25">
      <c r="A24" s="3"/>
      <c r="B24" s="12"/>
    </row>
    <row r="25" spans="1:6" x14ac:dyDescent="0.25">
      <c r="A25" s="13" t="s">
        <v>3</v>
      </c>
      <c r="B25" s="14" t="s">
        <v>32</v>
      </c>
    </row>
    <row r="26" spans="1:6" x14ac:dyDescent="0.25">
      <c r="A26" s="13" t="s">
        <v>4</v>
      </c>
      <c r="B26" s="14">
        <v>5</v>
      </c>
      <c r="D26" s="15"/>
      <c r="E26" s="15"/>
    </row>
    <row r="29" spans="1:6" x14ac:dyDescent="0.25">
      <c r="A29" t="s">
        <v>83</v>
      </c>
      <c r="B29">
        <v>3</v>
      </c>
      <c r="C29" t="s">
        <v>84</v>
      </c>
    </row>
  </sheetData>
  <pageMargins left="0.7" right="0.7" top="0.78740157499999996" bottom="0.78740157499999996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098" r:id="rId4" name="CommandButton1">
          <controlPr defaultSize="0" autoLine="0" r:id="rId5">
            <anchor moveWithCells="1">
              <from>
                <xdr:col>4</xdr:col>
                <xdr:colOff>600075</xdr:colOff>
                <xdr:row>5</xdr:row>
                <xdr:rowOff>76200</xdr:rowOff>
              </from>
              <to>
                <xdr:col>6</xdr:col>
                <xdr:colOff>514350</xdr:colOff>
                <xdr:row>7</xdr:row>
                <xdr:rowOff>161925</xdr:rowOff>
              </to>
            </anchor>
          </controlPr>
        </control>
      </mc:Choice>
      <mc:Fallback>
        <control shapeId="4098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47"/>
  <sheetViews>
    <sheetView tabSelected="1" zoomScale="110" zoomScaleNormal="110" workbookViewId="0">
      <selection activeCell="G3" sqref="G3"/>
    </sheetView>
  </sheetViews>
  <sheetFormatPr baseColWidth="10" defaultRowHeight="15" x14ac:dyDescent="0.25"/>
  <cols>
    <col min="1" max="2" width="7.140625" customWidth="1"/>
    <col min="3" max="4" width="7.42578125" customWidth="1"/>
    <col min="5" max="5" width="52.5703125" customWidth="1"/>
    <col min="6" max="6" width="66.5703125" customWidth="1"/>
    <col min="7" max="7" width="13.140625" customWidth="1"/>
  </cols>
  <sheetData>
    <row r="1" spans="1:6" x14ac:dyDescent="0.25">
      <c r="A1" s="2"/>
    </row>
    <row r="2" spans="1:6" x14ac:dyDescent="0.25">
      <c r="A2" s="2" t="s">
        <v>63</v>
      </c>
    </row>
    <row r="3" spans="1:6" ht="58.15" customHeight="1" x14ac:dyDescent="0.25">
      <c r="A3" t="s">
        <v>8</v>
      </c>
      <c r="C3" s="23" t="s">
        <v>92</v>
      </c>
      <c r="D3" s="23"/>
      <c r="E3" s="23"/>
      <c r="F3" s="23"/>
    </row>
    <row r="4" spans="1:6" x14ac:dyDescent="0.25">
      <c r="A4" t="s">
        <v>30</v>
      </c>
      <c r="C4" t="s">
        <v>64</v>
      </c>
    </row>
    <row r="5" spans="1:6" x14ac:dyDescent="0.25">
      <c r="A5" s="2" t="s">
        <v>0</v>
      </c>
      <c r="B5" s="2" t="s">
        <v>9</v>
      </c>
      <c r="C5" s="2" t="s">
        <v>6</v>
      </c>
      <c r="D5" s="2" t="s">
        <v>1</v>
      </c>
      <c r="E5" s="2" t="s">
        <v>2</v>
      </c>
      <c r="F5" s="2" t="s">
        <v>29</v>
      </c>
    </row>
    <row r="6" spans="1:6" x14ac:dyDescent="0.25">
      <c r="B6">
        <v>2</v>
      </c>
      <c r="C6">
        <v>1</v>
      </c>
      <c r="D6" s="1">
        <v>1</v>
      </c>
      <c r="E6" t="s">
        <v>38</v>
      </c>
      <c r="F6" t="s">
        <v>18</v>
      </c>
    </row>
    <row r="7" spans="1:6" x14ac:dyDescent="0.25">
      <c r="A7" t="s">
        <v>65</v>
      </c>
      <c r="B7">
        <v>2</v>
      </c>
      <c r="C7">
        <v>1</v>
      </c>
      <c r="D7" s="1">
        <v>1</v>
      </c>
      <c r="E7" t="s">
        <v>39</v>
      </c>
      <c r="F7" t="s">
        <v>40</v>
      </c>
    </row>
    <row r="8" spans="1:6" x14ac:dyDescent="0.25">
      <c r="B8">
        <v>2</v>
      </c>
      <c r="C8">
        <v>1</v>
      </c>
      <c r="D8" s="1">
        <v>-1</v>
      </c>
      <c r="E8" t="s">
        <v>41</v>
      </c>
      <c r="F8" t="s">
        <v>42</v>
      </c>
    </row>
    <row r="9" spans="1:6" x14ac:dyDescent="0.25">
      <c r="B9">
        <v>2</v>
      </c>
      <c r="C9">
        <v>1</v>
      </c>
      <c r="D9" s="1">
        <v>-1</v>
      </c>
      <c r="E9" t="s">
        <v>43</v>
      </c>
      <c r="F9" t="s">
        <v>44</v>
      </c>
    </row>
    <row r="10" spans="1:6" x14ac:dyDescent="0.25">
      <c r="A10" t="s">
        <v>65</v>
      </c>
      <c r="B10">
        <v>2</v>
      </c>
      <c r="C10">
        <v>1</v>
      </c>
      <c r="D10" s="1">
        <v>-1</v>
      </c>
      <c r="E10" t="s">
        <v>45</v>
      </c>
      <c r="F10" t="s">
        <v>46</v>
      </c>
    </row>
    <row r="11" spans="1:6" x14ac:dyDescent="0.25">
      <c r="B11">
        <v>2</v>
      </c>
      <c r="C11">
        <v>1</v>
      </c>
      <c r="D11" s="1">
        <v>1</v>
      </c>
      <c r="E11" t="s">
        <v>48</v>
      </c>
      <c r="F11" t="s">
        <v>47</v>
      </c>
    </row>
    <row r="12" spans="1:6" x14ac:dyDescent="0.25">
      <c r="B12">
        <v>1</v>
      </c>
      <c r="C12">
        <v>2</v>
      </c>
      <c r="D12" s="1">
        <v>1</v>
      </c>
      <c r="E12" t="s">
        <v>49</v>
      </c>
      <c r="F12" t="s">
        <v>50</v>
      </c>
    </row>
    <row r="13" spans="1:6" x14ac:dyDescent="0.25">
      <c r="B13">
        <v>1</v>
      </c>
      <c r="C13">
        <v>2</v>
      </c>
      <c r="D13" s="1">
        <v>-1</v>
      </c>
      <c r="E13" t="s">
        <v>51</v>
      </c>
      <c r="F13" t="s">
        <v>52</v>
      </c>
    </row>
    <row r="14" spans="1:6" x14ac:dyDescent="0.25">
      <c r="B14">
        <v>1</v>
      </c>
      <c r="C14">
        <v>2</v>
      </c>
      <c r="D14" s="1">
        <v>-1</v>
      </c>
      <c r="E14" t="s">
        <v>53</v>
      </c>
      <c r="F14" t="s">
        <v>54</v>
      </c>
    </row>
    <row r="15" spans="1:6" x14ac:dyDescent="0.25">
      <c r="B15">
        <v>1</v>
      </c>
      <c r="C15">
        <v>2</v>
      </c>
      <c r="D15" s="1">
        <v>-1</v>
      </c>
      <c r="E15" t="s">
        <v>55</v>
      </c>
      <c r="F15" t="s">
        <v>56</v>
      </c>
    </row>
    <row r="16" spans="1:6" x14ac:dyDescent="0.25">
      <c r="B16">
        <v>1</v>
      </c>
      <c r="C16">
        <v>2</v>
      </c>
      <c r="D16" s="1">
        <v>1</v>
      </c>
      <c r="E16" t="s">
        <v>57</v>
      </c>
      <c r="F16" t="s">
        <v>58</v>
      </c>
    </row>
    <row r="17" spans="1:6" x14ac:dyDescent="0.25">
      <c r="A17" t="s">
        <v>65</v>
      </c>
      <c r="B17">
        <v>1</v>
      </c>
      <c r="C17">
        <v>2</v>
      </c>
      <c r="D17" s="1">
        <v>1</v>
      </c>
      <c r="E17" t="s">
        <v>59</v>
      </c>
      <c r="F17" t="s">
        <v>60</v>
      </c>
    </row>
    <row r="18" spans="1:6" x14ac:dyDescent="0.25">
      <c r="A18" t="s">
        <v>65</v>
      </c>
      <c r="B18">
        <v>2</v>
      </c>
      <c r="C18">
        <v>3</v>
      </c>
      <c r="D18" s="1">
        <v>1</v>
      </c>
      <c r="E18" t="s">
        <v>86</v>
      </c>
      <c r="F18" t="s">
        <v>87</v>
      </c>
    </row>
    <row r="19" spans="1:6" x14ac:dyDescent="0.25">
      <c r="B19">
        <v>2</v>
      </c>
      <c r="C19">
        <v>3</v>
      </c>
      <c r="D19" s="1">
        <v>-1</v>
      </c>
      <c r="E19" t="s">
        <v>88</v>
      </c>
      <c r="F19" t="s">
        <v>89</v>
      </c>
    </row>
    <row r="20" spans="1:6" x14ac:dyDescent="0.25">
      <c r="B20">
        <v>2</v>
      </c>
      <c r="C20">
        <v>3</v>
      </c>
      <c r="D20" s="1">
        <v>-1</v>
      </c>
      <c r="E20" t="s">
        <v>90</v>
      </c>
      <c r="F20" t="s">
        <v>91</v>
      </c>
    </row>
    <row r="21" spans="1:6" x14ac:dyDescent="0.25">
      <c r="D21" s="1"/>
    </row>
    <row r="22" spans="1:6" x14ac:dyDescent="0.25">
      <c r="D22" s="1"/>
    </row>
    <row r="23" spans="1:6" x14ac:dyDescent="0.25">
      <c r="D23" s="1"/>
    </row>
    <row r="24" spans="1:6" x14ac:dyDescent="0.25">
      <c r="D24" s="1"/>
    </row>
    <row r="25" spans="1:6" x14ac:dyDescent="0.25">
      <c r="D25" s="1"/>
    </row>
    <row r="26" spans="1:6" x14ac:dyDescent="0.25">
      <c r="D26" s="1"/>
    </row>
    <row r="27" spans="1:6" x14ac:dyDescent="0.25">
      <c r="D27" s="1"/>
    </row>
    <row r="28" spans="1:6" x14ac:dyDescent="0.25">
      <c r="D28" s="1"/>
    </row>
    <row r="29" spans="1:6" x14ac:dyDescent="0.25">
      <c r="D29" s="1"/>
    </row>
    <row r="30" spans="1:6" x14ac:dyDescent="0.25">
      <c r="D30" s="1"/>
    </row>
    <row r="31" spans="1:6" x14ac:dyDescent="0.25">
      <c r="D31" s="1"/>
    </row>
    <row r="32" spans="1:6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  <row r="40" spans="4:4" x14ac:dyDescent="0.25">
      <c r="D40" s="1"/>
    </row>
    <row r="41" spans="4:4" x14ac:dyDescent="0.25">
      <c r="D41" s="1"/>
    </row>
    <row r="42" spans="4:4" x14ac:dyDescent="0.25">
      <c r="D42" s="1"/>
    </row>
    <row r="43" spans="4:4" x14ac:dyDescent="0.25">
      <c r="D43" s="1"/>
    </row>
    <row r="44" spans="4:4" x14ac:dyDescent="0.25">
      <c r="D44" s="1"/>
    </row>
    <row r="45" spans="4:4" x14ac:dyDescent="0.25">
      <c r="D45" s="1"/>
    </row>
    <row r="46" spans="4:4" x14ac:dyDescent="0.25">
      <c r="D46" s="1"/>
    </row>
    <row r="47" spans="4:4" x14ac:dyDescent="0.25">
      <c r="D47" s="1"/>
    </row>
  </sheetData>
  <mergeCells count="1">
    <mergeCell ref="C3:F3"/>
  </mergeCells>
  <pageMargins left="0.7" right="0.7" top="0.78740157499999996" bottom="0.78740157499999996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chaltfläche1_Klicken">
                <anchor moveWithCells="1" sizeWithCells="1">
                  <from>
                    <xdr:col>5</xdr:col>
                    <xdr:colOff>104775</xdr:colOff>
                    <xdr:row>0</xdr:row>
                    <xdr:rowOff>57150</xdr:rowOff>
                  </from>
                  <to>
                    <xdr:col>5</xdr:col>
                    <xdr:colOff>1181100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F23"/>
  <sheetViews>
    <sheetView zoomScale="110" zoomScaleNormal="110" workbookViewId="0">
      <selection activeCell="M8" sqref="M8"/>
    </sheetView>
  </sheetViews>
  <sheetFormatPr baseColWidth="10" defaultRowHeight="15" x14ac:dyDescent="0.25"/>
  <cols>
    <col min="1" max="22" width="7.7109375" customWidth="1"/>
  </cols>
  <sheetData>
    <row r="1" spans="1:32" x14ac:dyDescent="0.25">
      <c r="B1" t="s">
        <v>23</v>
      </c>
      <c r="M1" t="s">
        <v>24</v>
      </c>
      <c r="O1" t="s">
        <v>31</v>
      </c>
      <c r="Q1" t="b">
        <f>NOT(OR(M2:V2))</f>
        <v>0</v>
      </c>
      <c r="X1" t="s">
        <v>27</v>
      </c>
      <c r="Y1" t="b">
        <f>OR(X5:AF13)</f>
        <v>0</v>
      </c>
    </row>
    <row r="2" spans="1:32" x14ac:dyDescent="0.25">
      <c r="B2">
        <f t="shared" ref="B2:K2" si="0">COUNT(B4:B11)</f>
        <v>4</v>
      </c>
      <c r="C2">
        <f t="shared" si="0"/>
        <v>4</v>
      </c>
      <c r="D2">
        <f t="shared" si="0"/>
        <v>4</v>
      </c>
      <c r="E2">
        <f t="shared" si="0"/>
        <v>4</v>
      </c>
      <c r="F2">
        <f t="shared" si="0"/>
        <v>0</v>
      </c>
      <c r="G2">
        <f t="shared" si="0"/>
        <v>0</v>
      </c>
      <c r="H2">
        <f t="shared" si="0"/>
        <v>0</v>
      </c>
      <c r="I2">
        <f t="shared" si="0"/>
        <v>0</v>
      </c>
      <c r="J2">
        <f t="shared" si="0"/>
        <v>0</v>
      </c>
      <c r="K2">
        <f t="shared" si="0"/>
        <v>0</v>
      </c>
      <c r="M2" t="b">
        <f>IF(B2&gt;0,ABS(SUM(M4:M9)/COUNT(M4:M9))=1,"")</f>
        <v>0</v>
      </c>
      <c r="N2" t="b">
        <f t="shared" ref="N2:V2" si="1">IF(C2&gt;0,ABS(SUM(N4:N9)/COUNT(N4:N9))=1,"")</f>
        <v>1</v>
      </c>
      <c r="O2" t="b">
        <f t="shared" si="1"/>
        <v>0</v>
      </c>
      <c r="P2" t="b">
        <f t="shared" si="1"/>
        <v>0</v>
      </c>
      <c r="Q2" t="str">
        <f t="shared" si="1"/>
        <v/>
      </c>
      <c r="R2" t="str">
        <f t="shared" si="1"/>
        <v/>
      </c>
      <c r="S2" t="str">
        <f t="shared" si="1"/>
        <v/>
      </c>
      <c r="T2" t="str">
        <f t="shared" si="1"/>
        <v/>
      </c>
      <c r="U2" t="str">
        <f t="shared" si="1"/>
        <v/>
      </c>
      <c r="V2" t="str">
        <f t="shared" si="1"/>
        <v/>
      </c>
    </row>
    <row r="3" spans="1:32" x14ac:dyDescent="0.25"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M3">
        <v>1</v>
      </c>
      <c r="N3">
        <v>2</v>
      </c>
      <c r="O3">
        <v>3</v>
      </c>
      <c r="P3">
        <v>4</v>
      </c>
      <c r="Q3">
        <v>5</v>
      </c>
      <c r="R3">
        <v>6</v>
      </c>
      <c r="S3">
        <v>7</v>
      </c>
      <c r="T3">
        <v>8</v>
      </c>
      <c r="U3">
        <v>9</v>
      </c>
      <c r="V3">
        <v>10</v>
      </c>
      <c r="X3" t="s">
        <v>28</v>
      </c>
    </row>
    <row r="4" spans="1:32" x14ac:dyDescent="0.25">
      <c r="A4" t="b">
        <f t="shared" ref="A4:A23" si="2">IF(COUNTBLANK(B4:K4)&lt;10,AND(B4=M4,C4=N4,D4=O4,E4=P4,F4=Q4,G4=R4,H4=S4,I4=T4,J4=U4,K4=V4),"")</f>
        <v>0</v>
      </c>
      <c r="B4">
        <v>1</v>
      </c>
      <c r="C4">
        <v>-1</v>
      </c>
      <c r="D4">
        <v>1</v>
      </c>
      <c r="E4">
        <v>1</v>
      </c>
      <c r="M4">
        <v>1</v>
      </c>
      <c r="N4">
        <v>-1</v>
      </c>
      <c r="O4">
        <v>1</v>
      </c>
      <c r="P4">
        <v>-1</v>
      </c>
      <c r="W4">
        <v>1</v>
      </c>
    </row>
    <row r="5" spans="1:32" x14ac:dyDescent="0.25">
      <c r="A5" t="b">
        <f t="shared" si="2"/>
        <v>0</v>
      </c>
      <c r="C5">
        <v>-1</v>
      </c>
      <c r="D5">
        <v>1</v>
      </c>
      <c r="E5">
        <v>1</v>
      </c>
      <c r="N5">
        <v>-1</v>
      </c>
      <c r="O5">
        <v>-1</v>
      </c>
      <c r="P5">
        <v>-1</v>
      </c>
      <c r="W5">
        <v>2</v>
      </c>
      <c r="X5" t="b">
        <f>IF(A5&lt;&gt;"",AND(M$4=M5,N$4=N5,O$4=O5,P$4=P5,Q$4=Q5,R$4=R5,S$4=S5,T$4=T5,U$4=U5,V$4=V5),"")</f>
        <v>0</v>
      </c>
    </row>
    <row r="6" spans="1:32" x14ac:dyDescent="0.25">
      <c r="A6" t="b">
        <f t="shared" si="2"/>
        <v>1</v>
      </c>
      <c r="B6">
        <v>1</v>
      </c>
      <c r="C6">
        <v>-1</v>
      </c>
      <c r="D6">
        <v>1</v>
      </c>
      <c r="E6">
        <v>1</v>
      </c>
      <c r="M6">
        <v>1</v>
      </c>
      <c r="N6">
        <v>-1</v>
      </c>
      <c r="O6">
        <v>1</v>
      </c>
      <c r="P6">
        <v>1</v>
      </c>
      <c r="W6">
        <v>3</v>
      </c>
      <c r="X6" t="b">
        <f t="shared" ref="X6:X13" si="3">IF(A6&lt;&gt;"",AND(M$4=M6,N$4=N6,O$4=O6,P$4=P6,Q$4=Q6,R$4=R6,S$4=S6,T$4=T6,U$4=U6,V$4=V6),"")</f>
        <v>0</v>
      </c>
      <c r="Y6" t="b">
        <f>IF(A6&lt;&gt;"",AND(M$5=M6,N$5=N6,O$5=O6,P$5=P6,Q$5=Q6,R$5=R6,S$5=S6,T$5=T6,U$5=U6,V$5=V6),"")</f>
        <v>0</v>
      </c>
    </row>
    <row r="7" spans="1:32" x14ac:dyDescent="0.25">
      <c r="A7" t="b">
        <f t="shared" si="2"/>
        <v>0</v>
      </c>
      <c r="B7">
        <v>1</v>
      </c>
      <c r="D7">
        <v>1</v>
      </c>
      <c r="E7">
        <v>1</v>
      </c>
      <c r="M7">
        <v>1</v>
      </c>
      <c r="O7">
        <v>-1</v>
      </c>
      <c r="P7">
        <v>-1</v>
      </c>
      <c r="W7">
        <v>4</v>
      </c>
      <c r="X7" t="b">
        <f t="shared" si="3"/>
        <v>0</v>
      </c>
      <c r="Y7" t="b">
        <f t="shared" ref="Y7:Y13" si="4">IF(A7&lt;&gt;"",AND(M$5=M7,N$5=N7,O$5=O7,P$5=P7,Q$5=Q7,R$5=R7,S$5=S7,T$5=T7,U$5=U7,V$5=V7),"")</f>
        <v>0</v>
      </c>
      <c r="Z7" t="b">
        <f>IF(A7&lt;&gt;"",AND(M$6=M7,N$6=N7,O$6=O7,P$6=P7,Q$6=Q7,R$6=R7,S$6=S7,T$6=T7,U$6=U7,V$6=V7),"")</f>
        <v>0</v>
      </c>
    </row>
    <row r="8" spans="1:32" x14ac:dyDescent="0.25">
      <c r="A8" t="b">
        <f t="shared" si="2"/>
        <v>0</v>
      </c>
      <c r="B8">
        <v>1</v>
      </c>
      <c r="C8">
        <v>-1</v>
      </c>
      <c r="M8">
        <v>-1</v>
      </c>
      <c r="N8">
        <v>-1</v>
      </c>
      <c r="W8">
        <v>5</v>
      </c>
      <c r="X8" t="b">
        <f t="shared" si="3"/>
        <v>0</v>
      </c>
      <c r="Y8" t="b">
        <f t="shared" si="4"/>
        <v>0</v>
      </c>
      <c r="Z8" t="b">
        <f t="shared" ref="Z8:Z13" si="5">IF(A8&lt;&gt;"",AND(M$6=M8,N$6=N8,O$6=O8,P$6=P8,Q$6=Q8,R$6=R8,S$6=S8,T$6=T8,U$6=U8,V$6=V8),"")</f>
        <v>0</v>
      </c>
      <c r="AA8" t="b">
        <f>IF(A8&lt;&gt;"",AND(M$7=M8,N$7=N8,O$7=O8,P$7=P8,Q$7=Q8,R$7=R8,S$7=S8,T$7=T8,U$7=U8,V$7=V8),"")</f>
        <v>0</v>
      </c>
    </row>
    <row r="9" spans="1:32" x14ac:dyDescent="0.25">
      <c r="A9" t="str">
        <f t="shared" si="2"/>
        <v/>
      </c>
      <c r="W9">
        <v>6</v>
      </c>
      <c r="X9" t="str">
        <f t="shared" si="3"/>
        <v/>
      </c>
      <c r="Y9" t="str">
        <f t="shared" si="4"/>
        <v/>
      </c>
      <c r="Z9" t="str">
        <f t="shared" si="5"/>
        <v/>
      </c>
      <c r="AA9" t="str">
        <f t="shared" ref="AA9:AA13" si="6">IF(A9&lt;&gt;"",AND(M$7=M9,N$7=N9,O$7=O9,P$7=P9,Q$7=Q9,R$7=R9,S$7=S9,T$7=T9,U$7=U9,V$7=V9),"")</f>
        <v/>
      </c>
      <c r="AB9" t="str">
        <f>IF(A9&lt;&gt;"",AND(M$8=M9,N$8=N9,O$8=O9,P$8=P9,Q$8=Q9,R$8=R9,S$8=S9,T$8=T9,U$8=U9,V$8=V9),"")</f>
        <v/>
      </c>
    </row>
    <row r="10" spans="1:32" x14ac:dyDescent="0.25">
      <c r="A10" t="str">
        <f t="shared" si="2"/>
        <v/>
      </c>
      <c r="W10">
        <v>7</v>
      </c>
      <c r="X10" t="str">
        <f t="shared" si="3"/>
        <v/>
      </c>
      <c r="Y10" t="str">
        <f t="shared" si="4"/>
        <v/>
      </c>
      <c r="Z10" t="str">
        <f t="shared" si="5"/>
        <v/>
      </c>
      <c r="AA10" t="str">
        <f t="shared" si="6"/>
        <v/>
      </c>
      <c r="AB10" t="str">
        <f t="shared" ref="AB10:AB13" si="7">IF(A10&lt;&gt;"",AND(M$8=M10,N$8=N10,O$8=O10,P$8=P10,Q$8=Q10,R$8=R10,S$8=S10,T$8=T10,U$8=U10,V$8=V10),"")</f>
        <v/>
      </c>
      <c r="AC10" t="str">
        <f>IF(A10&lt;&gt;"",AND(M$9=M10,N$9=N10,O$9=O10,P$9=P10,Q$9=Q10,R$9=R10,S$9=S10,T$9=T10,U$9=U10,V$9=V10),"")</f>
        <v/>
      </c>
    </row>
    <row r="11" spans="1:32" x14ac:dyDescent="0.25">
      <c r="A11" t="str">
        <f t="shared" si="2"/>
        <v/>
      </c>
      <c r="W11">
        <v>8</v>
      </c>
      <c r="X11" t="str">
        <f t="shared" si="3"/>
        <v/>
      </c>
      <c r="Y11" t="str">
        <f t="shared" si="4"/>
        <v/>
      </c>
      <c r="Z11" t="str">
        <f t="shared" si="5"/>
        <v/>
      </c>
      <c r="AA11" t="str">
        <f t="shared" si="6"/>
        <v/>
      </c>
      <c r="AB11" t="str">
        <f t="shared" si="7"/>
        <v/>
      </c>
      <c r="AC11" t="str">
        <f t="shared" ref="AC11:AC13" si="8">IF(A11&lt;&gt;"",AND(M$9=M11,N$9=N11,O$9=O11,P$9=P11,Q$9=Q11,R$9=R11,S$9=S11,T$9=T11,U$9=U11,V$9=V11),"")</f>
        <v/>
      </c>
      <c r="AD11" t="str">
        <f>IF(A11&lt;&gt;"",AND(M$10=M11,N$10=N11,O$10=O11,P$10=P11,Q$10=Q11,R$10=R11,S$10=S11,T$10=T11,U$10=U11,V$10=V11),"")</f>
        <v/>
      </c>
    </row>
    <row r="12" spans="1:32" x14ac:dyDescent="0.25">
      <c r="A12" t="str">
        <f t="shared" si="2"/>
        <v/>
      </c>
      <c r="W12">
        <v>9</v>
      </c>
      <c r="X12" t="str">
        <f t="shared" si="3"/>
        <v/>
      </c>
      <c r="Y12" t="str">
        <f t="shared" si="4"/>
        <v/>
      </c>
      <c r="Z12" t="str">
        <f t="shared" si="5"/>
        <v/>
      </c>
      <c r="AA12" t="str">
        <f t="shared" si="6"/>
        <v/>
      </c>
      <c r="AB12" t="str">
        <f t="shared" si="7"/>
        <v/>
      </c>
      <c r="AC12" t="str">
        <f t="shared" si="8"/>
        <v/>
      </c>
      <c r="AD12" t="str">
        <f t="shared" ref="AD12:AD13" si="9">IF(A12&lt;&gt;"",AND(M$10=M12,N$10=N12,O$10=O12,P$10=P12,Q$10=Q12,R$10=R12,S$10=S12,T$10=T12,U$10=U12,V$10=V12),"")</f>
        <v/>
      </c>
      <c r="AE12" t="str">
        <f>IF(A12&lt;&gt;"",AND(M$5=M12,N$5=N12,O$5=O12,P$5=P12,Q$5=Q12,R$5=R12,S$5=S12,T$5=T12,U$5=U12,V$5=V12),"")</f>
        <v/>
      </c>
    </row>
    <row r="13" spans="1:32" x14ac:dyDescent="0.25">
      <c r="A13" t="str">
        <f t="shared" si="2"/>
        <v/>
      </c>
      <c r="W13">
        <v>10</v>
      </c>
      <c r="X13" t="str">
        <f t="shared" si="3"/>
        <v/>
      </c>
      <c r="Y13" t="str">
        <f t="shared" si="4"/>
        <v/>
      </c>
      <c r="Z13" t="str">
        <f t="shared" si="5"/>
        <v/>
      </c>
      <c r="AA13" t="str">
        <f t="shared" si="6"/>
        <v/>
      </c>
      <c r="AB13" t="str">
        <f t="shared" si="7"/>
        <v/>
      </c>
      <c r="AC13" t="str">
        <f t="shared" si="8"/>
        <v/>
      </c>
      <c r="AD13" t="str">
        <f t="shared" si="9"/>
        <v/>
      </c>
      <c r="AE13" t="str">
        <f>IF(A13&lt;&gt;"",AND(M$5=M13,N$5=N13,O$5=O13,P$5=P13,Q$5=Q13,R$5=R13,S$5=S13,T$5=T13,U$5=U13,V$5=V13),"")</f>
        <v/>
      </c>
      <c r="AF13" t="str">
        <f>IF(A13&lt;&gt;"",AND(M$12=M13,N$12=N13,O$12=O13,P$12=P13,Q$12=Q13,R$12=R13,S$12=S13,T$12=T13,U$12=U13,V$12=V13),"")</f>
        <v/>
      </c>
    </row>
    <row r="14" spans="1:32" x14ac:dyDescent="0.25">
      <c r="A14" t="str">
        <f t="shared" si="2"/>
        <v/>
      </c>
    </row>
    <row r="15" spans="1:32" x14ac:dyDescent="0.25">
      <c r="A15" t="str">
        <f t="shared" si="2"/>
        <v/>
      </c>
    </row>
    <row r="20" spans="1:1" x14ac:dyDescent="0.25">
      <c r="A20" t="str">
        <f t="shared" si="2"/>
        <v/>
      </c>
    </row>
    <row r="21" spans="1:1" x14ac:dyDescent="0.25">
      <c r="A21" t="str">
        <f t="shared" si="2"/>
        <v/>
      </c>
    </row>
    <row r="22" spans="1:1" x14ac:dyDescent="0.25">
      <c r="A22" t="str">
        <f t="shared" si="2"/>
        <v/>
      </c>
    </row>
    <row r="23" spans="1:1" x14ac:dyDescent="0.25">
      <c r="A23" t="str">
        <f t="shared" si="2"/>
        <v/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7"/>
  <sheetViews>
    <sheetView workbookViewId="0">
      <selection activeCell="D26" sqref="D26"/>
    </sheetView>
  </sheetViews>
  <sheetFormatPr baseColWidth="10" defaultRowHeight="15" x14ac:dyDescent="0.25"/>
  <sheetData>
    <row r="1" spans="1:9" x14ac:dyDescent="0.25">
      <c r="A1" t="s">
        <v>66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67</v>
      </c>
      <c r="B2" s="22" t="s">
        <v>68</v>
      </c>
      <c r="C2" s="22" t="s">
        <v>69</v>
      </c>
      <c r="D2" s="22" t="s">
        <v>70</v>
      </c>
    </row>
    <row r="3" spans="1:9" x14ac:dyDescent="0.25">
      <c r="A3" t="s">
        <v>71</v>
      </c>
    </row>
    <row r="4" spans="1:9" x14ac:dyDescent="0.25">
      <c r="A4">
        <v>1</v>
      </c>
      <c r="B4" s="16" t="s">
        <v>72</v>
      </c>
      <c r="C4" t="s">
        <v>73</v>
      </c>
      <c r="D4" s="16" t="s">
        <v>65</v>
      </c>
    </row>
    <row r="5" spans="1:9" x14ac:dyDescent="0.25">
      <c r="A5">
        <v>2</v>
      </c>
      <c r="B5" s="16" t="s">
        <v>74</v>
      </c>
      <c r="C5" t="s">
        <v>75</v>
      </c>
      <c r="D5" s="16" t="s">
        <v>76</v>
      </c>
    </row>
    <row r="6" spans="1:9" x14ac:dyDescent="0.25">
      <c r="A6">
        <v>3</v>
      </c>
      <c r="B6" s="16" t="s">
        <v>77</v>
      </c>
      <c r="C6" t="s">
        <v>78</v>
      </c>
      <c r="D6" s="16" t="s">
        <v>79</v>
      </c>
    </row>
    <row r="7" spans="1:9" x14ac:dyDescent="0.25">
      <c r="A7">
        <v>4</v>
      </c>
      <c r="B7" s="16" t="s">
        <v>80</v>
      </c>
      <c r="C7" t="s">
        <v>81</v>
      </c>
      <c r="D7" s="16" t="s">
        <v>82</v>
      </c>
    </row>
  </sheetData>
  <hyperlinks>
    <hyperlink ref="B2" r:id="rId1"/>
    <hyperlink ref="C2" r:id="rId2"/>
    <hyperlink ref="D2" r:id="rId3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Gen_output</vt:lpstr>
      <vt:lpstr>questions</vt:lpstr>
      <vt:lpstr>Response_Matrix</vt:lpstr>
      <vt:lpstr>Rnd_Matrix</vt:lpstr>
    </vt:vector>
  </TitlesOfParts>
  <Company>HSRW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Moodle Cloze question generator</dc:title>
  <dc:creator>Joachim Fensterle</dc:creator>
  <cp:lastModifiedBy>jf</cp:lastModifiedBy>
  <dcterms:created xsi:type="dcterms:W3CDTF">2020-10-06T16:52:28Z</dcterms:created>
  <dcterms:modified xsi:type="dcterms:W3CDTF">2024-04-15T11:36:47Z</dcterms:modified>
</cp:coreProperties>
</file>