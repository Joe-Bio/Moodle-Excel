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2.xml" ContentType="application/vnd.openxmlformats-officedocument.drawing+xml"/>
  <Override PartName="/xl/ctrlProps/ctrlProp1.xml" ContentType="application/vnd.ms-excel.controlproperties+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DieseArbeitsmappe"/>
  <mc:AlternateContent xmlns:mc="http://schemas.openxmlformats.org/markup-compatibility/2006">
    <mc:Choice Requires="x15">
      <x15ac:absPath xmlns:x15ac="http://schemas.microsoft.com/office/spreadsheetml/2010/11/ac" url="C:\Mac\Home\Documents\Lehre\Sonstiges\Moodle Randomized\Excel Current\Moodle-Excel\"/>
    </mc:Choice>
  </mc:AlternateContent>
  <xr:revisionPtr revIDLastSave="0" documentId="13_ncr:1_{4BD34A5A-47AE-4B4D-872B-9FD52CCB805B}" xr6:coauthVersionLast="47" xr6:coauthVersionMax="47" xr10:uidLastSave="{00000000-0000-0000-0000-000000000000}"/>
  <bookViews>
    <workbookView xWindow="6420" yWindow="1530" windowWidth="21540" windowHeight="9765" activeTab="7" xr2:uid="{00000000-000D-0000-FFFF-FFFF00000000}"/>
  </bookViews>
  <sheets>
    <sheet name="Gen_output" sheetId="1" r:id="rId1"/>
    <sheet name="Intro" sheetId="2" r:id="rId2"/>
    <sheet name="Solution" sheetId="8" r:id="rId3"/>
    <sheet name="Aux-Calc" sheetId="5" r:id="rId4"/>
    <sheet name="Rnd_Matrix" sheetId="12" r:id="rId5"/>
    <sheet name="Dataset" sheetId="7" r:id="rId6"/>
    <sheet name="Evaluation" sheetId="15" r:id="rId7"/>
    <sheet name="Responses" sheetId="14" r:id="rId8"/>
    <sheet name="Help" sheetId="6" r:id="rId9"/>
    <sheet name="BE 4233 2 Demo Test Ducks are a" sheetId="13"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2" i="5" l="1"/>
  <c r="B11" i="5"/>
  <c r="B7" i="5"/>
  <c r="B6" i="5"/>
  <c r="C26" i="5" s="1"/>
  <c r="B13" i="5"/>
  <c r="D9" i="15" s="1"/>
  <c r="B8" i="5"/>
  <c r="D8" i="15" s="1"/>
  <c r="H8" i="15" s="1"/>
  <c r="G5" i="15"/>
  <c r="G6" i="15"/>
  <c r="F8" i="15"/>
  <c r="F9" i="15"/>
  <c r="F10" i="15"/>
  <c r="H11" i="15"/>
  <c r="F12" i="15"/>
  <c r="H9" i="15" l="1"/>
  <c r="I9" i="15"/>
  <c r="E11" i="8"/>
  <c r="E12" i="8"/>
  <c r="H12" i="8" s="1"/>
  <c r="B19" i="5"/>
  <c r="D31" i="5"/>
  <c r="C27" i="5"/>
  <c r="C29" i="5"/>
  <c r="I8" i="15"/>
  <c r="E20" i="8" l="1"/>
  <c r="D12" i="15"/>
  <c r="E14" i="8"/>
  <c r="H14" i="8" s="1"/>
  <c r="H11" i="8"/>
  <c r="B3" i="8" s="1"/>
  <c r="D10" i="15"/>
  <c r="H10" i="15" s="1"/>
  <c r="E6" i="8"/>
  <c r="H12" i="15" l="1"/>
  <c r="H5" i="15" s="1"/>
  <c r="I12" i="15" l="1"/>
  <c r="E17" i="8" l="1"/>
  <c r="H6" i="15" l="1"/>
  <c r="I6" i="15" s="1"/>
  <c r="I10" i="15"/>
  <c r="B4" i="15" l="1"/>
</calcChain>
</file>

<file path=xl/sharedStrings.xml><?xml version="1.0" encoding="utf-8"?>
<sst xmlns="http://schemas.openxmlformats.org/spreadsheetml/2006/main" count="360" uniqueCount="262">
  <si>
    <t>Text</t>
  </si>
  <si>
    <t>-</t>
  </si>
  <si>
    <t>Header:</t>
  </si>
  <si>
    <t>Variable name</t>
  </si>
  <si>
    <t>Lower limit</t>
  </si>
  <si>
    <t>Upper limit</t>
  </si>
  <si>
    <t>Rnd</t>
  </si>
  <si>
    <t>Points</t>
  </si>
  <si>
    <t>Help with respect to setting up sheet</t>
  </si>
  <si>
    <t>Sig. Digits</t>
  </si>
  <si>
    <t>Rnd-Form</t>
  </si>
  <si>
    <t>Number</t>
  </si>
  <si>
    <t>Value</t>
  </si>
  <si>
    <t>Limits ok?</t>
  </si>
  <si>
    <t>Random Datasets</t>
  </si>
  <si>
    <t>Number sets</t>
  </si>
  <si>
    <t>Respect limits</t>
  </si>
  <si>
    <t>cave: initial value of limits must be true!</t>
  </si>
  <si>
    <t>Filepath</t>
  </si>
  <si>
    <t>Filename</t>
  </si>
  <si>
    <t>include number</t>
  </si>
  <si>
    <t>includes dataset number as last "question"</t>
  </si>
  <si>
    <t>Exp Up</t>
  </si>
  <si>
    <t>Exp Lo</t>
  </si>
  <si>
    <t>Def digits</t>
  </si>
  <si>
    <t>Type [Moodle formula, Text or Hidden]</t>
  </si>
  <si>
    <t>Error Tolerance 100%</t>
  </si>
  <si>
    <t>Error Tolerance 50%</t>
  </si>
  <si>
    <t>(0%: will be ignored)</t>
  </si>
  <si>
    <t>(required!)</t>
  </si>
  <si>
    <t>Question Name</t>
  </si>
  <si>
    <t>generalfeedback</t>
  </si>
  <si>
    <t>penalty</t>
  </si>
  <si>
    <t>0.33333</t>
  </si>
  <si>
    <t>hidden</t>
  </si>
  <si>
    <t>0</t>
  </si>
  <si>
    <t>idnumber</t>
  </si>
  <si>
    <t>hint</t>
  </si>
  <si>
    <t>html</t>
  </si>
  <si>
    <t>shownumcorrect</t>
  </si>
  <si>
    <t>tag</t>
  </si>
  <si>
    <t>clearwrong</t>
  </si>
  <si>
    <t>Type (do not touch!)</t>
  </si>
  <si>
    <t>Feedback (don not touch)!</t>
  </si>
  <si>
    <t>Content (cave: text only for non-tag fields!)</t>
  </si>
  <si>
    <t>(0: transfer only)</t>
  </si>
  <si>
    <t>Hidden?</t>
  </si>
  <si>
    <t>Full solution</t>
  </si>
  <si>
    <t>NM</t>
  </si>
  <si>
    <t>&lt;b&gt;Background:&lt;/b&gt;&lt;/p&gt;&lt;p&gt;</t>
  </si>
  <si>
    <t>MC</t>
  </si>
  <si>
    <t>Solution sheet</t>
  </si>
  <si>
    <t>Intro</t>
  </si>
  <si>
    <t>The intro might contain two types of variables: a random variable or a normal variable.</t>
  </si>
  <si>
    <t>To obtain a random variable, include a lower and upper limit. Variables (or formulas) without lower limit will not be changed.</t>
  </si>
  <si>
    <t>General</t>
  </si>
  <si>
    <t>If you attribute a variable name to a number (Intro + Solution), it will be transfered to the dataset.</t>
  </si>
  <si>
    <t>If the variable has a lower limit (Intro), it will be generated randomly.</t>
  </si>
  <si>
    <t>If (and only if) numbers have "significant digits" (Intro + Solution), they will be converted to text with the appropriate appearance.</t>
  </si>
  <si>
    <t>If your "rnd-field" contains a formula, do neither include variable names or upper and lower limits. If you want to display it in the list, just include it in solutions as hidden with variable name.</t>
  </si>
  <si>
    <t>sub</t>
  </si>
  <si>
    <t>If you want to re-calculate the results according to the interims results of the students, use the solution sheet.</t>
  </si>
  <si>
    <t>For the transfer: y students refers to the column number, where the actual result is found.</t>
  </si>
  <si>
    <t>The way results are treated depend on the type:</t>
  </si>
  <si>
    <t>numerical results are transfered and can be used for follow up calculations</t>
  </si>
  <si>
    <t>is set true, if student uses substitute value</t>
  </si>
  <si>
    <t>For MC(S) fields, the response of the student is compared with the correct response (from the moodle extracted data!) and the result (true / false) is transfered into the solution sheet</t>
  </si>
  <si>
    <t>Welcome to your appartment!</t>
  </si>
  <si>
    <t xml:space="preserve">and xxx m, </t>
  </si>
  <si>
    <t xml:space="preserve">Your appartment has two rooms. Room A has sides with the lenght of xxx m </t>
  </si>
  <si>
    <t xml:space="preserve">room B has sides with the length of xxx m </t>
  </si>
  <si>
    <t>A1</t>
  </si>
  <si>
    <t>A2</t>
  </si>
  <si>
    <t>B1</t>
  </si>
  <si>
    <t>B2</t>
  </si>
  <si>
    <t>A</t>
  </si>
  <si>
    <t>B</t>
  </si>
  <si>
    <t xml:space="preserve">Room A [m&lt;sup&gt;2&lt;/sup&gt;]: </t>
  </si>
  <si>
    <t xml:space="preserve">Area appartment [m&lt;sup&gt;2&lt;/sup&gt;]: </t>
  </si>
  <si>
    <t>App</t>
  </si>
  <si>
    <t>Hidden</t>
  </si>
  <si>
    <t>Check if A&gt;B.</t>
  </si>
  <si>
    <t>AvsB</t>
  </si>
  <si>
    <t>HTML export type</t>
  </si>
  <si>
    <t>(options: individual or mixed, only relevant for HTML export, not for moodle questions)</t>
  </si>
  <si>
    <t>ID number HTML export</t>
  </si>
  <si>
    <t>&lt;/p&gt;&lt;p&gt;&lt;b&gt;c) How would you judge the size of the appartment?&lt;/b&gt;&lt;/p&gt;&lt;p&gt;</t>
  </si>
  <si>
    <t xml:space="preserve">In my opinion, the area of this appartment is </t>
  </si>
  <si>
    <t>&lt;p&gt;Hint: appartments for students are considered large, if their size exceeds 35 m&lt;sup&gt;2&lt;/sup&gt;.&lt;/p&gt;&lt;p&gt;</t>
  </si>
  <si>
    <t>HTML_Comment</t>
  </si>
  <si>
    <t>&lt;!-- xx Individual xx 1 xx --&gt;</t>
  </si>
  <si>
    <t>Resp</t>
  </si>
  <si>
    <t>ImgLink</t>
  </si>
  <si>
    <t>https://i.ibb.co/b2B067p/Ente1.jpg</t>
  </si>
  <si>
    <t>https://i.ibb.co/7RTLJsV/Ente2.jpg</t>
  </si>
  <si>
    <t>https://i.ibb.co/CMMt43W/Ente3.jpg</t>
  </si>
  <si>
    <t>Generic</t>
  </si>
  <si>
    <t>1</t>
  </si>
  <si>
    <t>I</t>
  </si>
  <si>
    <t>x</t>
  </si>
  <si>
    <t>2</t>
  </si>
  <si>
    <t>II</t>
  </si>
  <si>
    <t>k</t>
  </si>
  <si>
    <t>a</t>
  </si>
  <si>
    <t>i</t>
  </si>
  <si>
    <t>b</t>
  </si>
  <si>
    <t>h</t>
  </si>
  <si>
    <t>&lt;!-- xx Einfach so nen Kommentar, denn jetzt kommt die Ente xx --&gt;</t>
  </si>
  <si>
    <t>In one room lives a duck, depicted in the following picture: &lt;/p&gt;&lt;p&gt;</t>
  </si>
  <si>
    <t>and xxx m.&lt;/p&gt;&lt;p&gt;</t>
  </si>
  <si>
    <t>&lt;img src="##ImgLink;" alt="Ente" width="348" height = "400" role="presentation" class="img-fluid"&gt;</t>
  </si>
  <si>
    <t>random substitutions</t>
  </si>
  <si>
    <t>(max number of randomized substitutions from table Rnd_Matrix, 0: no substitutions performed)</t>
  </si>
  <si>
    <t xml:space="preserve"> {1:MC:large ~=small}</t>
  </si>
  <si>
    <t>5</t>
  </si>
  <si>
    <t>TableStart</t>
  </si>
  <si>
    <t>Room</t>
  </si>
  <si>
    <t>Area</t>
  </si>
  <si>
    <t xml:space="preserve">Room B [m&lt;sup&gt;2&lt;/sup&gt;]: </t>
  </si>
  <si>
    <t>TableEnd</t>
  </si>
  <si>
    <t xml:space="preserve"> {0:TableStart:}</t>
  </si>
  <si>
    <t xml:space="preserve"> {0:TableEnd:}</t>
  </si>
  <si>
    <t>&lt;/p&gt;&lt;p&gt;&lt;b&gt;b) Interim results&lt;/b&gt;&lt;/p&gt;&lt;p&gt;Plese put your interim results in the following table:&lt;/p&gt;&lt;p&gt;</t>
  </si>
  <si>
    <t>\\Mac\Home\Documents\Lehre\Sonstiges\Moodle Randomized\Excel Current\xml\</t>
  </si>
  <si>
    <t>Example appartment V4</t>
  </si>
  <si>
    <t>appartment examplev4 new.xml</t>
  </si>
  <si>
    <t>Random calculation questions generator; Prof. Dr. Joe Fensterle, HSRW</t>
  </si>
  <si>
    <t>Required Sheets</t>
  </si>
  <si>
    <t>it is advised to watch the video tutorial deposited on Youtube before using this sheet for the first time (Link to Playlist: https://www.youtube.com/playlist?list=PLbV6qbj31bqVKld8RMIiv8_H45gp1nn_O)</t>
  </si>
  <si>
    <t>For simple questions, only Sheets Intro+Solution and Dataset are required for generating a randomized calculation</t>
  </si>
  <si>
    <t>Usually, you want to have your full calculation on Aux-Calc.</t>
  </si>
  <si>
    <t>Only if you want to evaluate students results, you need sheets Evaluation and Responses.</t>
  </si>
  <si>
    <t>Last name</t>
  </si>
  <si>
    <t>First name</t>
  </si>
  <si>
    <t>Username</t>
  </si>
  <si>
    <t>Email address</t>
  </si>
  <si>
    <t>State</t>
  </si>
  <si>
    <t>Started on</t>
  </si>
  <si>
    <t>Completed</t>
  </si>
  <si>
    <t>Time taken</t>
  </si>
  <si>
    <t>Grade/10.00</t>
  </si>
  <si>
    <t>Question 1</t>
  </si>
  <si>
    <t>Response 1</t>
  </si>
  <si>
    <t>Right answer 1</t>
  </si>
  <si>
    <t>Question 2</t>
  </si>
  <si>
    <t>Response 2</t>
  </si>
  <si>
    <t>Right answer 2</t>
  </si>
  <si>
    <t>Fensterle</t>
  </si>
  <si>
    <t>Joachim</t>
  </si>
  <si>
    <t>Joachim.Fensterle@hochschule-rhein-waal.de</t>
  </si>
  <si>
    <t>Finished</t>
  </si>
  <si>
    <t>26 February 2025  7:04 PM</t>
  </si>
  <si>
    <t>26 February 2025  7:06 PM</t>
  </si>
  <si>
    <t>2 mins 12 secs</t>
  </si>
  <si>
    <t>9.00</t>
  </si>
  <si>
    <t>PLEASE ASSIGN THE ELEMENTS. The elements refer to the following picture of a duck:      [Ente-f1.jpg]      ASSIGNMENT:      		ELEMENT   		ASSIGNMENT   		ELEMENT   		ASSIGNMENT      		4   		{hands; feet; beak; back; hair; tail}   		6   		{hair; hands; back; beak; feet; tail}      		_1_   		_beak_   		C   		{upper part; middle part; lower part}</t>
  </si>
  <si>
    <t>part 1: hands; part 2: tail; part 3: middle part</t>
  </si>
  <si>
    <t>part 1: hands; part 2: tail; part 3: lower part</t>
  </si>
  <si>
    <t>WELCOME TO YOUR APPARTMENT!      BACKGROUND:      Your appartment has two rooms. Room A has sides with the lenght of 6.6 m and 4.2 m, room B has sides with the length of 4.5 m and 2.2 m.      QUESTIONS:      Please give your results with 4 significant digits. Take care about the units!!!</t>
  </si>
  <si>
    <t>part 1: 37.62; part 2: 27.72; part 3: 9.9; part 4: large; part 5: 32.8; part 6: 0</t>
  </si>
  <si>
    <t>part 1: 37.62; part 2: 27.72; part 3: 9.9; part 4: large; part 5: 32.8; part 6: 2</t>
  </si>
  <si>
    <t>26 February 2025  7:07 PM</t>
  </si>
  <si>
    <t>26 February 2025  7:08 PM</t>
  </si>
  <si>
    <t>1 min 26 secs</t>
  </si>
  <si>
    <t>6.00</t>
  </si>
  <si>
    <t>PLEASE ASSIGN THE ELEMENTS. The elements refer to the following picture of a duck:      [Ente-f2.jpg]      ASSIGNMENT:      		ELEMENT   		ASSIGNMENT   		ELEMENT   		ASSIGNMENT      		f   		{beak; hands; back; feet; tail; hair}   		c   		{hands; hair; back; feet; beak; tail}      		2   		{upper part; middle part; lower part}   		_a_   		_beak_</t>
  </si>
  <si>
    <t>part 1: hands; part 2: back; part 3: middle part</t>
  </si>
  <si>
    <t>part 1: feet; part 2: back; part 3: middle part</t>
  </si>
  <si>
    <t>WELCOME TO YOUR APPARTMENT!      BACKGROUND:      Your appartment has two rooms. Room A has sides with the lenght of 6.1 m and 2.7 m, room B has sides with the length of 3.4 m and 3.2 m.      QUESTIONS:      Please give your results with 4 significant digits. Take care about the units!!!</t>
  </si>
  <si>
    <t>part 1: 32; part 2: 16.47; part 3: 10.88; part 4: large; part 5: 28.3; part 6: 0</t>
  </si>
  <si>
    <t>part 1: 27.35; part 2: 16.47; part 3: 10.88; part 4: small; part 5: 28.1; part 6: 1</t>
  </si>
  <si>
    <t>26 February 2025  7:10 PM</t>
  </si>
  <si>
    <t>1 min 27 secs</t>
  </si>
  <si>
    <t>4.00</t>
  </si>
  <si>
    <t>PLEASE ASSIGN THE ELEMENTS. The elements refer to the following picture of a duck:      [Ente-f2.jpg]      ASSIGNMENT:      		ELEMENT   		ASSIGNMENT   		ELEMENT   		ASSIGNMENT      		b   		{hands; hair; feet; beak; tail; back}   		d   		{hands; hair; feet; back; tail; beak}      		_a_   		_beak_   		3   		{upper part; middle part; lower part}</t>
  </si>
  <si>
    <t>part 1: hands; part 2: back; part 3: lower part</t>
  </si>
  <si>
    <t>part 1: hair; part 2: hands; part 3: lower part</t>
  </si>
  <si>
    <t>WELCOME TO YOUR APPARTMENT!      BACKGROUND:      Your appartment has two rooms. Room A has sides with the lenght of 4.3 m and 4.3 m, room B has sides with the length of 3.8 m and 3.1 m.      QUESTIONS:      Please give your results with 4 significant digits. Take care about the units!!!</t>
  </si>
  <si>
    <t>part 1: 28.27; part 2: 18.49; part 3: 9.78; part 4: small; part 5: 27.2; part 6: 0</t>
  </si>
  <si>
    <t>part 1: 30.27; part 2: 18.49; part 3: 11.78; part 4: small; part 5: 27.9; part 6: 4</t>
  </si>
  <si>
    <t>26 February 2025  7:11 PM</t>
  </si>
  <si>
    <t>1 min 2 secs</t>
  </si>
  <si>
    <t>8.00</t>
  </si>
  <si>
    <t>PLEASE ASSIGN THE ELEMENTS. The elements refer to the following picture of a duck:      [Ente-f2.jpg]      ASSIGNMENT:      		ELEMENT   		ASSIGNMENT   		ELEMENT   		ASSIGNMENT      		1   		{upper part; middle part; lower part}   		f   		{beak; back; tail; hands; feet; hair}      		b   		{beak; feet; back; hair; hands; tail}   		_a_   		_beak_</t>
  </si>
  <si>
    <t>part 1: upper part; part 2: hands; part 3: hair</t>
  </si>
  <si>
    <t>part 1: upper part; part 2: feet; part 3: hair</t>
  </si>
  <si>
    <t>WELCOME TO YOUR APPARTMENT!      BACKGROUND:      Your appartment has two rooms. Room A has sides with the lenght of 7 m and 3.9 m, room B has sides with the length of 5.5 m and 3.8 m.      QUESTIONS:      Please give your results with 4 significant digits. Take care about the units!!!</t>
  </si>
  <si>
    <t>part 1: 48.2; part 2: 23.7; part 3: 20.9; part 4: large; part 5: 36.6; part 6: 0</t>
  </si>
  <si>
    <t>part 1: 48.2; part 2: 27.3; part 3: 20.9; part 4: large; part 5: 36.6; part 6: 3</t>
  </si>
  <si>
    <t>large</t>
  </si>
  <si>
    <t>part 1: 48.2; part 2: 27.3; part 3: 20.9; part 4: large; part 5: 36.6; part 6: 3;</t>
  </si>
  <si>
    <t>part 1: 48.2; part 2: 23.7; part 3: 20.9; part 4: large; part 5: 36.6; part 6: 0;</t>
  </si>
  <si>
    <t>&lt;p&gt;&lt;b&gt;Grading:  &lt;/b&gt;The grading takes into account your interims results.&lt;/p&gt;&lt;p&gt;total points (scaled, factor 1,00): 2/5 P; bonus points (scaled, factor 1,00): 2/2 P.&lt;/p&gt;&lt;p&gt;Interim results (unscaled):&lt;/p&gt;&lt;p&gt;Area A (correct: 2,73E+1): 0/1 P. &lt;br&gt;Area B (correct: 2,09E+1): 1/1 P. &lt;br&gt;Area appartment (correct: 4,46E+1): 0/2 P. &lt;br&gt;Bonus length Keystones (correct: 3,66E+1): 2/2 P. &lt;br&gt;&lt;/p&gt;</t>
  </si>
  <si>
    <t>small</t>
  </si>
  <si>
    <t>part 1: 30.27; part 2: 18.49; part 3: 11.78; part 4: small; part 5: 27.9; part 6: 4;</t>
  </si>
  <si>
    <t>part 1: 28.27; part 2: 18.49; part 3: 9.78; part 4: small; part 5: 27.2; part 6: 0;</t>
  </si>
  <si>
    <t>&lt;p&gt;&lt;b&gt;Grading:  &lt;/b&gt;The grading takes into account your interims results.&lt;/p&gt;&lt;p&gt;total points (scaled, factor 1,00): 4/5 P; bonus points (scaled, factor 1,00): 1/2 P.&lt;/p&gt;&lt;p&gt;Interim results (unscaled):&lt;/p&gt;&lt;p&gt;Area A (correct: 1,85E+1): 1/1 P. &lt;br&gt;Area B (correct: 1,18E+1): 0/1 P. &lt;br&gt;Area appartment (correct: 2,83E+1): 2/2 P. &lt;br&gt;Bonus length Keystones (correct: 2,79E+1): 1/2 P. &lt;br&gt;&lt;/p&gt;</t>
  </si>
  <si>
    <t>part 1: 27.35; part 2: 16.47; part 3: 10.88; part 4: small; part 5: 28.1; part 6: 1;</t>
  </si>
  <si>
    <t>part 1: 32; part 2: 16.47; part 3: 10.88; part 4: large; part 5: 28.3; part 6: 0;</t>
  </si>
  <si>
    <t>&lt;p&gt;&lt;b&gt;Grading:  &lt;/b&gt;The grading takes into account your interims results.&lt;/p&gt;&lt;p&gt;total points (scaled, factor 1,00): 2/5 P; bonus points (scaled, factor 1,00): 2/2 P.&lt;/p&gt;&lt;p&gt;Interim results (unscaled):&lt;/p&gt;&lt;p&gt;Area A (correct: 1,65E+1): 1/1 P. &lt;br&gt;Area B (correct: 1,09E+1): 1/1 P. &lt;br&gt;Area appartment (correct: 2,74E+1): 0/2 P. &lt;br&gt;Bonus length Keystones (correct: 2,81E+1): 2/2 P. &lt;br&gt;&lt;/p&gt;</t>
  </si>
  <si>
    <t>part 1: 37.62; part 2: 27.72; part 3: 9.9; part 4: large; part 5: 32.8; part 6: 2;</t>
  </si>
  <si>
    <t>part 1: 37.62; part 2: 27.72; part 3: 9.9; part 4: large; part 5: 32.8; part 6: 0;</t>
  </si>
  <si>
    <t>&lt;p&gt;&lt;b&gt;Grading:  &lt;/b&gt;The grading takes into account your interims results.&lt;/p&gt;&lt;p&gt;total points (scaled, factor 1,00): 5/5 P; bonus points (scaled, factor 1,00): 2/2 P.&lt;/p&gt;&lt;p&gt;Interim results (unscaled):&lt;/p&gt;&lt;p&gt;Area A (correct: 2,77E+1): 1/1 P. &lt;br&gt;Area B (correct: 9,90E+0): 1/1 P. &lt;br&gt;Area appartment (correct: 3,76E+1): 2/2 P. &lt;br&gt;Bonus length Keystones (correct: 3,28E+1): 2/2 P. &lt;br&gt;&lt;/p&gt;</t>
  </si>
  <si>
    <t>HTML</t>
  </si>
  <si>
    <t>Bonus Points</t>
  </si>
  <si>
    <t>ID</t>
  </si>
  <si>
    <t>Scale factor:</t>
  </si>
  <si>
    <t>No Responses:</t>
  </si>
  <si>
    <t>Result Sheet Responses</t>
  </si>
  <si>
    <t>Additional note:</t>
  </si>
  <si>
    <t>Bonus length Keystones</t>
  </si>
  <si>
    <t>Large Appartment?</t>
  </si>
  <si>
    <t>Area appartment</t>
  </si>
  <si>
    <t>Area B</t>
  </si>
  <si>
    <t>Area A</t>
  </si>
  <si>
    <t>HTML output</t>
  </si>
  <si>
    <t>points achieved</t>
  </si>
  <si>
    <t>points</t>
  </si>
  <si>
    <t>further calc</t>
  </si>
  <si>
    <t>students</t>
  </si>
  <si>
    <t>result</t>
  </si>
  <si>
    <t>y students</t>
  </si>
  <si>
    <t>Type</t>
  </si>
  <si>
    <t>Total</t>
  </si>
  <si>
    <t>Bonus</t>
  </si>
  <si>
    <t>y student dataset number</t>
  </si>
  <si>
    <t>combined html</t>
  </si>
  <si>
    <t>Scale</t>
  </si>
  <si>
    <t>Bonus (scale = 0: no bonus points in this question)</t>
  </si>
  <si>
    <t>1. Area of rooms</t>
  </si>
  <si>
    <t>Room A</t>
  </si>
  <si>
    <t>A1:</t>
  </si>
  <si>
    <t>m</t>
  </si>
  <si>
    <t>A2:</t>
  </si>
  <si>
    <t>area:</t>
  </si>
  <si>
    <t>m^2</t>
  </si>
  <si>
    <t>Room B</t>
  </si>
  <si>
    <t>B1:</t>
  </si>
  <si>
    <t>B2:</t>
  </si>
  <si>
    <t>2. Area of appartment:</t>
  </si>
  <si>
    <t xml:space="preserve">Formula: </t>
  </si>
  <si>
    <t>A_App = A_A + A_B</t>
  </si>
  <si>
    <t>3. bonus: perimeter</t>
  </si>
  <si>
    <t>Solution path: calculate the perimter of each room and then substract the length of the smallest side.</t>
  </si>
  <si>
    <t>Perimeter Room A:</t>
  </si>
  <si>
    <t>Perimeter Room B:</t>
  </si>
  <si>
    <t>smallest side:</t>
  </si>
  <si>
    <t>Perimeter = P_A + P_B - S_S =</t>
  </si>
  <si>
    <t>&lt;h3&gt;Questions:&lt;/h3&gt;&lt;/p&gt;&lt;p&gt;Please give your results with 4 significant digits. Take care about the units!!!&lt;/p&gt;&lt;p</t>
  </si>
  <si>
    <t>&lt;b&gt;a) What is the area of your appartment?&lt;/b&gt;&lt;/p&gt;&lt;p&gt;</t>
  </si>
  <si>
    <t xml:space="preserve"> {2:NM:=20.08:0.3~%50%20.08:0.8~999999}</t>
  </si>
  <si>
    <t xml:space="preserve"> {1:NM:=11.5:0.17~%50%11.5:0.46~999999}</t>
  </si>
  <si>
    <t xml:space="preserve"> {1:NM:=8.58:0.13~%50%8.58:0.34~999999}</t>
  </si>
  <si>
    <t>&lt;/p&gt;&lt;p&gt;&lt;b&gt;d) Bonus question&lt;/b&gt;&lt;/p&gt;&lt;p&gt;</t>
  </si>
  <si>
    <t>Assume that a house has been contructed just consisting of room A and B connected to each other via their small sides. You need to buy kerbstones around the comlete house to seperate it from the garden. What is the length of the kerbstones, if you neglect the thickness of the wall?</t>
  </si>
  <si>
    <t xml:space="preserve">&lt;/p&gt;&lt;p&gt;Kerbstone length [m]: </t>
  </si>
  <si>
    <t xml:space="preserve"> {2:NM:=24.1:0.36~%50%24.1:0.96~999999}</t>
  </si>
  <si>
    <t>Kerb</t>
  </si>
  <si>
    <t>2.3</t>
  </si>
  <si>
    <t>2.6</t>
  </si>
  <si>
    <t>3.3</t>
  </si>
  <si>
    <t>abcdefg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</si>
</sst>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00"/>
  </numFmts>
  <fonts count="12" x14ac:knownFonts="1">
    <font>
      <sz val="11"/>
      <color theme="1"/>
      <name val="Calibri"/>
      <family val="2"/>
      <scheme val="minor"/>
    </font>
    <font>
      <b/>
      <sz val="11"/>
      <color theme="1"/>
      <name val="Calibri"/>
      <family val="2"/>
      <scheme val="minor"/>
    </font>
    <font>
      <sz val="11"/>
      <color rgb="FF000000"/>
      <name val="Calibri"/>
      <family val="2"/>
    </font>
    <font>
      <sz val="12"/>
      <color rgb="FF000000"/>
      <name val="Calibri"/>
      <family val="2"/>
    </font>
    <font>
      <sz val="12"/>
      <color rgb="FF000000"/>
      <name val="Calibri"/>
      <family val="2"/>
    </font>
    <font>
      <sz val="11"/>
      <color theme="0" tint="-0.34998626667073579"/>
      <name val="Calibri"/>
      <family val="2"/>
      <scheme val="minor"/>
    </font>
    <font>
      <u/>
      <sz val="11"/>
      <color theme="10"/>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b/>
      <u/>
      <sz val="11"/>
      <color rgb="FF006100"/>
      <name val="Calibri"/>
      <family val="2"/>
      <scheme val="minor"/>
    </font>
    <font>
      <b/>
      <u/>
      <sz val="11"/>
      <color rgb="FF9C0006"/>
      <name val="Calibri"/>
      <family val="2"/>
      <scheme val="minor"/>
    </font>
  </fonts>
  <fills count="8">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theme="7" tint="0.79998168889431442"/>
        <bgColor indexed="64"/>
      </patternFill>
    </fill>
    <fill>
      <patternFill patternType="solid">
        <fgColor rgb="FFC6EFCE"/>
      </patternFill>
    </fill>
    <fill>
      <patternFill patternType="solid">
        <fgColor rgb="FFFFC7CE"/>
      </patternFill>
    </fill>
    <fill>
      <patternFill patternType="solid">
        <fgColor rgb="FFFFEB9C"/>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7">
    <xf numFmtId="0" fontId="0" fillId="0" borderId="0"/>
    <xf numFmtId="0" fontId="3" fillId="0" borderId="0"/>
    <xf numFmtId="0" fontId="4" fillId="0" borderId="0"/>
    <xf numFmtId="0" fontId="6" fillId="0" borderId="0" applyNumberFormat="0" applyFill="0" applyBorder="0" applyAlignment="0" applyProtection="0"/>
    <xf numFmtId="0" fontId="7" fillId="5" borderId="0" applyNumberFormat="0" applyBorder="0" applyAlignment="0" applyProtection="0"/>
    <xf numFmtId="0" fontId="8" fillId="6" borderId="0" applyNumberFormat="0" applyBorder="0" applyAlignment="0" applyProtection="0"/>
    <xf numFmtId="0" fontId="9" fillId="7" borderId="0" applyNumberFormat="0" applyBorder="0" applyAlignment="0" applyProtection="0"/>
  </cellStyleXfs>
  <cellXfs count="32">
    <xf numFmtId="0" fontId="0" fillId="0" borderId="0" xfId="0"/>
    <xf numFmtId="0" fontId="1" fillId="0" borderId="0" xfId="0" applyFont="1"/>
    <xf numFmtId="0" fontId="0" fillId="0" borderId="0" xfId="0" quotePrefix="1"/>
    <xf numFmtId="0" fontId="0" fillId="0" borderId="0" xfId="0" applyAlignment="1">
      <alignment wrapText="1"/>
    </xf>
    <xf numFmtId="9" fontId="0" fillId="0" borderId="0" xfId="0" quotePrefix="1" applyNumberFormat="1"/>
    <xf numFmtId="0" fontId="0" fillId="0" borderId="1" xfId="0" applyBorder="1"/>
    <xf numFmtId="0" fontId="0" fillId="0" borderId="1" xfId="0" applyBorder="1" applyAlignment="1">
      <alignment wrapText="1"/>
    </xf>
    <xf numFmtId="0" fontId="0" fillId="2" borderId="1" xfId="0" applyFill="1" applyBorder="1"/>
    <xf numFmtId="0" fontId="0" fillId="2" borderId="1" xfId="0" quotePrefix="1" applyFill="1" applyBorder="1"/>
    <xf numFmtId="49" fontId="0" fillId="0" borderId="0" xfId="0" applyNumberFormat="1"/>
    <xf numFmtId="49" fontId="0" fillId="2" borderId="1" xfId="0" applyNumberFormat="1" applyFill="1" applyBorder="1"/>
    <xf numFmtId="49" fontId="0" fillId="2" borderId="1" xfId="0" quotePrefix="1" applyNumberFormat="1" applyFill="1" applyBorder="1"/>
    <xf numFmtId="164" fontId="0" fillId="0" borderId="0" xfId="0" applyNumberFormat="1"/>
    <xf numFmtId="0" fontId="0" fillId="3" borderId="0" xfId="0" quotePrefix="1" applyFill="1"/>
    <xf numFmtId="0" fontId="0" fillId="0" borderId="0" xfId="0" applyFill="1"/>
    <xf numFmtId="11" fontId="0" fillId="0" borderId="0" xfId="0" applyNumberFormat="1"/>
    <xf numFmtId="2" fontId="0" fillId="0" borderId="0" xfId="0" applyNumberFormat="1"/>
    <xf numFmtId="166" fontId="0" fillId="0" borderId="0" xfId="0" applyNumberFormat="1"/>
    <xf numFmtId="165" fontId="0" fillId="0" borderId="0" xfId="0" applyNumberFormat="1"/>
    <xf numFmtId="0" fontId="5" fillId="0" borderId="0" xfId="0" applyFont="1"/>
    <xf numFmtId="0" fontId="5" fillId="0" borderId="0" xfId="0" quotePrefix="1" applyFont="1"/>
    <xf numFmtId="2" fontId="0" fillId="2" borderId="1" xfId="0" quotePrefix="1" applyNumberFormat="1" applyFill="1" applyBorder="1"/>
    <xf numFmtId="0" fontId="0" fillId="4" borderId="1" xfId="0" applyFill="1" applyBorder="1"/>
    <xf numFmtId="0" fontId="0" fillId="4" borderId="0" xfId="0" applyFill="1"/>
    <xf numFmtId="0" fontId="6" fillId="0" borderId="0" xfId="3"/>
    <xf numFmtId="0" fontId="3" fillId="0" borderId="0" xfId="1"/>
    <xf numFmtId="0" fontId="10" fillId="5" borderId="0" xfId="4" applyFont="1"/>
    <xf numFmtId="0" fontId="7" fillId="5" borderId="0" xfId="4"/>
    <xf numFmtId="0" fontId="8" fillId="6" borderId="0" xfId="5"/>
    <xf numFmtId="0" fontId="11" fillId="6" borderId="0" xfId="5" applyFont="1"/>
    <xf numFmtId="0" fontId="9" fillId="7" borderId="0" xfId="6"/>
    <xf numFmtId="2" fontId="1" fillId="0" borderId="0" xfId="0" applyNumberFormat="1" applyFont="1"/>
  </cellXfs>
  <cellStyles count="7">
    <cellStyle name="Gut" xfId="4" builtinId="26"/>
    <cellStyle name="Link" xfId="3" builtinId="8"/>
    <cellStyle name="Neutral" xfId="6" builtinId="28"/>
    <cellStyle name="Schlecht" xfId="5" builtinId="27"/>
    <cellStyle name="Standard" xfId="0" builtinId="0"/>
    <cellStyle name="Standard 2" xfId="1" xr:uid="{00000000-0005-0000-0000-000002000000}"/>
    <cellStyle name="Standard 3" xfId="2" xr:uid="{00000000-0005-0000-0000-00000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1743075</xdr:colOff>
          <xdr:row>1</xdr:row>
          <xdr:rowOff>19050</xdr:rowOff>
        </xdr:from>
        <xdr:to>
          <xdr:col>1</xdr:col>
          <xdr:colOff>3324225</xdr:colOff>
          <xdr:row>2</xdr:row>
          <xdr:rowOff>142875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276225</xdr:colOff>
          <xdr:row>0</xdr:row>
          <xdr:rowOff>85725</xdr:rowOff>
        </xdr:from>
        <xdr:to>
          <xdr:col>5</xdr:col>
          <xdr:colOff>666750</xdr:colOff>
          <xdr:row>2</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Generate Random Datasets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file:///\\Mac\Home\Documents\Lehre\Sonstiges\Moodle%20Randomized\Excel%20Current\xml\" TargetMode="Externa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s://i.ibb.co/CMMt43W/Ente3.jpg" TargetMode="External"/><Relationship Id="rId2" Type="http://schemas.openxmlformats.org/officeDocument/2006/relationships/hyperlink" Target="https://i.ibb.co/7RTLJsV/Ente2.jpg" TargetMode="External"/><Relationship Id="rId1" Type="http://schemas.openxmlformats.org/officeDocument/2006/relationships/hyperlink" Target="https://i.ibb.co/b2B067p/Ente1.jpg"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D32"/>
  <sheetViews>
    <sheetView zoomScale="115" zoomScaleNormal="115" workbookViewId="0">
      <selection activeCell="B7" sqref="B7"/>
    </sheetView>
  </sheetViews>
  <sheetFormatPr baseColWidth="10" defaultRowHeight="15" x14ac:dyDescent="0.25"/>
  <cols>
    <col min="1" max="1" width="20.140625" customWidth="1"/>
    <col min="2" max="2" width="51.140625" customWidth="1"/>
    <col min="3" max="3" width="19.28515625" customWidth="1"/>
    <col min="4" max="4" width="17.5703125" customWidth="1"/>
  </cols>
  <sheetData>
    <row r="1" spans="1:4" x14ac:dyDescent="0.25">
      <c r="A1" s="1" t="s">
        <v>126</v>
      </c>
    </row>
    <row r="2" spans="1:4" x14ac:dyDescent="0.25">
      <c r="B2" s="2" t="s">
        <v>1</v>
      </c>
    </row>
    <row r="4" spans="1:4" x14ac:dyDescent="0.25">
      <c r="A4" t="s">
        <v>30</v>
      </c>
      <c r="B4" t="s">
        <v>124</v>
      </c>
    </row>
    <row r="5" spans="1:4" x14ac:dyDescent="0.25">
      <c r="A5" t="s">
        <v>18</v>
      </c>
      <c r="B5" s="24" t="s">
        <v>123</v>
      </c>
    </row>
    <row r="6" spans="1:4" x14ac:dyDescent="0.25">
      <c r="A6" t="s">
        <v>19</v>
      </c>
      <c r="B6" t="s">
        <v>125</v>
      </c>
    </row>
    <row r="7" spans="1:4" x14ac:dyDescent="0.25">
      <c r="A7" t="s">
        <v>20</v>
      </c>
      <c r="B7" t="b">
        <v>0</v>
      </c>
      <c r="C7" t="s">
        <v>21</v>
      </c>
    </row>
    <row r="8" spans="1:4" x14ac:dyDescent="0.25">
      <c r="A8" t="s">
        <v>22</v>
      </c>
      <c r="B8">
        <v>4</v>
      </c>
    </row>
    <row r="9" spans="1:4" x14ac:dyDescent="0.25">
      <c r="A9" t="s">
        <v>23</v>
      </c>
      <c r="B9">
        <v>-2</v>
      </c>
    </row>
    <row r="10" spans="1:4" x14ac:dyDescent="0.25">
      <c r="A10" t="s">
        <v>24</v>
      </c>
      <c r="B10">
        <v>4</v>
      </c>
      <c r="D10" s="2"/>
    </row>
    <row r="11" spans="1:4" x14ac:dyDescent="0.25">
      <c r="A11" t="s">
        <v>26</v>
      </c>
      <c r="B11" s="12">
        <v>1.4999999999999999E-2</v>
      </c>
      <c r="C11" t="s">
        <v>29</v>
      </c>
      <c r="D11" s="2"/>
    </row>
    <row r="12" spans="1:4" x14ac:dyDescent="0.25">
      <c r="A12" t="s">
        <v>27</v>
      </c>
      <c r="B12" s="12">
        <v>0.04</v>
      </c>
      <c r="C12" t="s">
        <v>28</v>
      </c>
      <c r="D12" s="2"/>
    </row>
    <row r="13" spans="1:4" x14ac:dyDescent="0.25">
      <c r="D13" s="2"/>
    </row>
    <row r="16" spans="1:4" x14ac:dyDescent="0.25">
      <c r="A16" t="s">
        <v>43</v>
      </c>
      <c r="B16" t="s">
        <v>44</v>
      </c>
      <c r="C16" t="s">
        <v>42</v>
      </c>
      <c r="D16" s="2"/>
    </row>
    <row r="17" spans="1:4" x14ac:dyDescent="0.25">
      <c r="A17" t="s">
        <v>31</v>
      </c>
      <c r="C17" t="s">
        <v>38</v>
      </c>
      <c r="D17" s="2"/>
    </row>
    <row r="18" spans="1:4" x14ac:dyDescent="0.25">
      <c r="A18" t="s">
        <v>32</v>
      </c>
      <c r="B18" s="2" t="s">
        <v>33</v>
      </c>
      <c r="C18" s="4"/>
      <c r="D18" s="2"/>
    </row>
    <row r="19" spans="1:4" x14ac:dyDescent="0.25">
      <c r="A19" t="s">
        <v>34</v>
      </c>
      <c r="B19" s="2" t="s">
        <v>35</v>
      </c>
      <c r="C19" s="2"/>
      <c r="D19" s="2"/>
    </row>
    <row r="20" spans="1:4" x14ac:dyDescent="0.25">
      <c r="A20" t="s">
        <v>36</v>
      </c>
      <c r="B20" s="13" t="s">
        <v>114</v>
      </c>
      <c r="D20" s="2"/>
    </row>
    <row r="21" spans="1:4" x14ac:dyDescent="0.25">
      <c r="A21" t="s">
        <v>37</v>
      </c>
      <c r="B21" s="2"/>
      <c r="C21" t="s">
        <v>38</v>
      </c>
      <c r="D21" s="2"/>
    </row>
    <row r="22" spans="1:4" x14ac:dyDescent="0.25">
      <c r="A22" t="s">
        <v>39</v>
      </c>
      <c r="B22">
        <v>0</v>
      </c>
      <c r="C22" t="s">
        <v>40</v>
      </c>
      <c r="D22" s="2"/>
    </row>
    <row r="23" spans="1:4" x14ac:dyDescent="0.25">
      <c r="A23" t="s">
        <v>41</v>
      </c>
      <c r="B23">
        <v>0</v>
      </c>
      <c r="C23" t="s">
        <v>40</v>
      </c>
    </row>
    <row r="24" spans="1:4" x14ac:dyDescent="0.25">
      <c r="A24" t="s">
        <v>37</v>
      </c>
      <c r="C24" t="s">
        <v>38</v>
      </c>
      <c r="D24" s="2"/>
    </row>
    <row r="25" spans="1:4" x14ac:dyDescent="0.25">
      <c r="A25" t="s">
        <v>39</v>
      </c>
      <c r="B25">
        <v>0</v>
      </c>
      <c r="C25" t="s">
        <v>40</v>
      </c>
      <c r="D25" s="2"/>
    </row>
    <row r="26" spans="1:4" x14ac:dyDescent="0.25">
      <c r="A26" t="s">
        <v>41</v>
      </c>
      <c r="B26">
        <v>0</v>
      </c>
      <c r="C26" t="s">
        <v>40</v>
      </c>
    </row>
    <row r="29" spans="1:4" x14ac:dyDescent="0.25">
      <c r="A29" t="s">
        <v>83</v>
      </c>
      <c r="B29" t="s">
        <v>90</v>
      </c>
      <c r="C29" t="s">
        <v>84</v>
      </c>
    </row>
    <row r="30" spans="1:4" x14ac:dyDescent="0.25">
      <c r="A30" t="s">
        <v>85</v>
      </c>
      <c r="B30">
        <v>9</v>
      </c>
    </row>
    <row r="32" spans="1:4" x14ac:dyDescent="0.25">
      <c r="A32" t="s">
        <v>111</v>
      </c>
      <c r="B32">
        <v>3</v>
      </c>
      <c r="C32" t="s">
        <v>112</v>
      </c>
    </row>
  </sheetData>
  <hyperlinks>
    <hyperlink ref="B5" r:id="rId1" xr:uid="{6C9FB8F9-8A56-4C9C-A1BF-83B538C86EF2}"/>
  </hyperlinks>
  <pageMargins left="0.7" right="0.7" top="0.78740157499999996" bottom="0.78740157499999996" header="0.3" footer="0.3"/>
  <drawing r:id="rId2"/>
  <legacyDrawing r:id="rId3"/>
  <controls>
    <mc:AlternateContent xmlns:mc="http://schemas.openxmlformats.org/markup-compatibility/2006">
      <mc:Choice Requires="x14">
        <control shapeId="1025" r:id="rId4" name="CommandButton1">
          <controlPr defaultSize="0" autoLine="0" autoPict="0" r:id="rId5">
            <anchor moveWithCells="1">
              <from>
                <xdr:col>1</xdr:col>
                <xdr:colOff>1743075</xdr:colOff>
                <xdr:row>1</xdr:row>
                <xdr:rowOff>19050</xdr:rowOff>
              </from>
              <to>
                <xdr:col>1</xdr:col>
                <xdr:colOff>3324225</xdr:colOff>
                <xdr:row>2</xdr:row>
                <xdr:rowOff>142875</xdr:rowOff>
              </to>
            </anchor>
          </controlPr>
        </control>
      </mc:Choice>
      <mc:Fallback>
        <control shapeId="102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H11"/>
  <sheetViews>
    <sheetView zoomScale="110" zoomScaleNormal="110" workbookViewId="0">
      <selection activeCell="D6" sqref="D6"/>
    </sheetView>
  </sheetViews>
  <sheetFormatPr baseColWidth="10" defaultRowHeight="15" x14ac:dyDescent="0.25"/>
  <cols>
    <col min="2" max="2" width="84" style="3" customWidth="1"/>
    <col min="3" max="3" width="11.42578125" style="9"/>
  </cols>
  <sheetData>
    <row r="1" spans="1:8" x14ac:dyDescent="0.25">
      <c r="A1" t="s">
        <v>2</v>
      </c>
      <c r="B1" s="3" t="s">
        <v>67</v>
      </c>
    </row>
    <row r="3" spans="1:8" x14ac:dyDescent="0.25">
      <c r="A3" s="5" t="s">
        <v>46</v>
      </c>
      <c r="B3" s="6" t="s">
        <v>0</v>
      </c>
      <c r="C3" s="10" t="s">
        <v>10</v>
      </c>
      <c r="D3" s="7" t="s">
        <v>6</v>
      </c>
      <c r="E3" s="5" t="s">
        <v>4</v>
      </c>
      <c r="F3" s="5" t="s">
        <v>5</v>
      </c>
      <c r="G3" s="5" t="s">
        <v>9</v>
      </c>
      <c r="H3" s="5" t="s">
        <v>3</v>
      </c>
    </row>
    <row r="4" spans="1:8" x14ac:dyDescent="0.25">
      <c r="A4" s="5"/>
      <c r="B4" s="6" t="s">
        <v>49</v>
      </c>
      <c r="C4" s="10"/>
      <c r="D4" s="7"/>
      <c r="E4" s="5"/>
      <c r="F4" s="5"/>
      <c r="G4" s="5"/>
      <c r="H4" s="5"/>
    </row>
    <row r="5" spans="1:8" x14ac:dyDescent="0.25">
      <c r="A5" s="5"/>
      <c r="B5" s="6" t="s">
        <v>69</v>
      </c>
      <c r="C5" s="11" t="s">
        <v>114</v>
      </c>
      <c r="D5" s="7">
        <v>7</v>
      </c>
      <c r="E5" s="5">
        <v>4</v>
      </c>
      <c r="F5" s="5">
        <v>8</v>
      </c>
      <c r="G5" s="5">
        <v>2</v>
      </c>
      <c r="H5" s="5" t="s">
        <v>71</v>
      </c>
    </row>
    <row r="6" spans="1:8" x14ac:dyDescent="0.25">
      <c r="A6" s="5"/>
      <c r="B6" s="6" t="s">
        <v>68</v>
      </c>
      <c r="C6" s="11" t="s">
        <v>258</v>
      </c>
      <c r="D6" s="7">
        <v>3.9</v>
      </c>
      <c r="E6" s="5">
        <v>2</v>
      </c>
      <c r="F6" s="5">
        <v>5</v>
      </c>
      <c r="G6" s="5">
        <v>2</v>
      </c>
      <c r="H6" s="5" t="s">
        <v>72</v>
      </c>
    </row>
    <row r="7" spans="1:8" x14ac:dyDescent="0.25">
      <c r="A7" s="5"/>
      <c r="B7" s="6" t="s">
        <v>70</v>
      </c>
      <c r="C7" s="11" t="s">
        <v>259</v>
      </c>
      <c r="D7" s="7">
        <v>5.5</v>
      </c>
      <c r="E7" s="5">
        <v>2</v>
      </c>
      <c r="F7" s="5">
        <v>6</v>
      </c>
      <c r="G7" s="5">
        <v>2</v>
      </c>
      <c r="H7" s="5" t="s">
        <v>73</v>
      </c>
    </row>
    <row r="8" spans="1:8" x14ac:dyDescent="0.25">
      <c r="A8" s="5"/>
      <c r="B8" s="6" t="s">
        <v>109</v>
      </c>
      <c r="C8" s="11" t="s">
        <v>260</v>
      </c>
      <c r="D8" s="7">
        <v>3.8</v>
      </c>
      <c r="E8" s="5">
        <v>2</v>
      </c>
      <c r="F8" s="5">
        <v>4</v>
      </c>
      <c r="G8" s="5">
        <v>2</v>
      </c>
      <c r="H8" s="5" t="s">
        <v>74</v>
      </c>
    </row>
    <row r="9" spans="1:8" x14ac:dyDescent="0.25">
      <c r="A9" s="5" t="s">
        <v>89</v>
      </c>
      <c r="B9" s="6" t="s">
        <v>107</v>
      </c>
      <c r="C9" s="11"/>
      <c r="D9" s="7"/>
      <c r="E9" s="5"/>
      <c r="F9" s="5"/>
      <c r="G9" s="5"/>
      <c r="H9" s="5"/>
    </row>
    <row r="10" spans="1:8" x14ac:dyDescent="0.25">
      <c r="A10" s="5"/>
      <c r="B10" s="6" t="s">
        <v>108</v>
      </c>
      <c r="C10" s="11"/>
      <c r="D10" s="7"/>
      <c r="E10" s="5"/>
      <c r="F10" s="5"/>
      <c r="G10" s="5"/>
      <c r="H10" s="5"/>
    </row>
    <row r="11" spans="1:8" ht="30" x14ac:dyDescent="0.25">
      <c r="A11" s="5"/>
      <c r="B11" s="6" t="s">
        <v>110</v>
      </c>
      <c r="C11" s="11"/>
      <c r="D11" s="7"/>
      <c r="E11" s="5"/>
      <c r="F11" s="5"/>
      <c r="G11" s="5"/>
      <c r="H11" s="5"/>
    </row>
  </sheetData>
  <pageMargins left="0.7" right="0.7" top="0.78740157499999996" bottom="0.78740157499999996"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dimension ref="A1:J20"/>
  <sheetViews>
    <sheetView zoomScaleNormal="100" workbookViewId="0">
      <selection sqref="A1:J1048576"/>
    </sheetView>
  </sheetViews>
  <sheetFormatPr baseColWidth="10" defaultRowHeight="15" x14ac:dyDescent="0.25"/>
  <cols>
    <col min="2" max="2" width="18.28515625" customWidth="1"/>
    <col min="3" max="3" width="84" style="3" customWidth="1"/>
    <col min="4" max="4" width="11.42578125" style="9"/>
  </cols>
  <sheetData>
    <row r="1" spans="1:10" x14ac:dyDescent="0.25">
      <c r="A1" t="s">
        <v>2</v>
      </c>
      <c r="B1" t="s">
        <v>248</v>
      </c>
    </row>
    <row r="2" spans="1:10" x14ac:dyDescent="0.25">
      <c r="B2" s="2"/>
    </row>
    <row r="3" spans="1:10" x14ac:dyDescent="0.25">
      <c r="A3" t="s">
        <v>13</v>
      </c>
      <c r="B3" s="23" t="b">
        <f>AND(H11:H14)</f>
        <v>1</v>
      </c>
      <c r="C3" s="9"/>
      <c r="D3"/>
    </row>
    <row r="4" spans="1:10" x14ac:dyDescent="0.25">
      <c r="A4" s="5" t="s">
        <v>25</v>
      </c>
      <c r="B4" s="5" t="s">
        <v>7</v>
      </c>
      <c r="C4" s="6" t="s">
        <v>0</v>
      </c>
      <c r="D4" s="10" t="s">
        <v>10</v>
      </c>
      <c r="E4" s="7" t="s">
        <v>12</v>
      </c>
      <c r="F4" s="5" t="s">
        <v>4</v>
      </c>
      <c r="G4" s="5" t="s">
        <v>5</v>
      </c>
      <c r="H4" s="5" t="s">
        <v>13</v>
      </c>
      <c r="I4" s="5" t="s">
        <v>9</v>
      </c>
      <c r="J4" s="5" t="s">
        <v>3</v>
      </c>
    </row>
    <row r="5" spans="1:10" x14ac:dyDescent="0.25">
      <c r="A5" s="5" t="s">
        <v>0</v>
      </c>
      <c r="B5" s="5"/>
      <c r="C5" s="6" t="s">
        <v>249</v>
      </c>
      <c r="D5" s="7"/>
      <c r="E5" s="21"/>
      <c r="F5" s="5"/>
      <c r="G5" s="5"/>
      <c r="H5" s="5"/>
      <c r="I5" s="5"/>
      <c r="J5" s="5"/>
    </row>
    <row r="6" spans="1:10" x14ac:dyDescent="0.25">
      <c r="A6" s="5" t="s">
        <v>48</v>
      </c>
      <c r="B6" s="5">
        <v>2</v>
      </c>
      <c r="C6" s="6" t="s">
        <v>78</v>
      </c>
      <c r="D6" s="11" t="s">
        <v>250</v>
      </c>
      <c r="E6" s="21">
        <f>'Aux-Calc'!B19</f>
        <v>44.599999999999994</v>
      </c>
      <c r="F6" s="5"/>
      <c r="G6" s="5"/>
      <c r="H6" s="5"/>
      <c r="I6" s="5">
        <v>4</v>
      </c>
      <c r="J6" s="5" t="s">
        <v>79</v>
      </c>
    </row>
    <row r="7" spans="1:10" ht="30" x14ac:dyDescent="0.25">
      <c r="A7" s="5" t="s">
        <v>0</v>
      </c>
      <c r="B7" s="5"/>
      <c r="C7" s="6" t="s">
        <v>122</v>
      </c>
      <c r="D7" s="8"/>
      <c r="E7" s="8"/>
      <c r="F7" s="5"/>
      <c r="G7" s="5"/>
      <c r="H7" s="5"/>
      <c r="I7" s="5"/>
      <c r="J7" s="5"/>
    </row>
    <row r="8" spans="1:10" x14ac:dyDescent="0.25">
      <c r="A8" s="5" t="s">
        <v>115</v>
      </c>
      <c r="B8" s="5"/>
      <c r="C8" s="6">
        <v>2</v>
      </c>
      <c r="D8" s="8" t="s">
        <v>120</v>
      </c>
      <c r="E8" s="8"/>
      <c r="F8" s="5"/>
      <c r="G8" s="5"/>
      <c r="H8" s="5"/>
      <c r="I8" s="5"/>
      <c r="J8" s="5"/>
    </row>
    <row r="9" spans="1:10" x14ac:dyDescent="0.25">
      <c r="A9" s="5" t="s">
        <v>0</v>
      </c>
      <c r="B9" s="5"/>
      <c r="C9" s="6" t="s">
        <v>116</v>
      </c>
      <c r="D9" s="8"/>
      <c r="E9" s="8"/>
      <c r="F9" s="5"/>
      <c r="G9" s="5"/>
      <c r="H9" s="5"/>
      <c r="I9" s="5"/>
      <c r="J9" s="5"/>
    </row>
    <row r="10" spans="1:10" x14ac:dyDescent="0.25">
      <c r="A10" s="5" t="s">
        <v>0</v>
      </c>
      <c r="B10" s="5"/>
      <c r="C10" s="6" t="s">
        <v>117</v>
      </c>
      <c r="D10" s="8"/>
      <c r="E10" s="8"/>
      <c r="F10" s="5"/>
      <c r="G10" s="5"/>
      <c r="H10" s="5"/>
      <c r="I10" s="5"/>
      <c r="J10" s="5"/>
    </row>
    <row r="11" spans="1:10" x14ac:dyDescent="0.25">
      <c r="A11" s="5" t="s">
        <v>48</v>
      </c>
      <c r="B11" s="5">
        <v>1</v>
      </c>
      <c r="C11" s="6" t="s">
        <v>77</v>
      </c>
      <c r="D11" s="8" t="s">
        <v>251</v>
      </c>
      <c r="E11" s="21">
        <f>'Aux-Calc'!B8</f>
        <v>27.3</v>
      </c>
      <c r="F11" s="22">
        <v>5</v>
      </c>
      <c r="G11" s="22">
        <v>30</v>
      </c>
      <c r="H11" s="22" t="b">
        <f>AND(E11&gt;=F11,E11&lt;=G11)</f>
        <v>1</v>
      </c>
      <c r="I11" s="5">
        <v>4</v>
      </c>
      <c r="J11" s="5" t="s">
        <v>75</v>
      </c>
    </row>
    <row r="12" spans="1:10" x14ac:dyDescent="0.25">
      <c r="A12" s="5" t="s">
        <v>48</v>
      </c>
      <c r="B12" s="5">
        <v>1</v>
      </c>
      <c r="C12" s="6" t="s">
        <v>118</v>
      </c>
      <c r="D12" s="8" t="s">
        <v>252</v>
      </c>
      <c r="E12" s="21">
        <f>'Aux-Calc'!B13</f>
        <v>20.9</v>
      </c>
      <c r="F12" s="22">
        <v>5</v>
      </c>
      <c r="G12" s="22">
        <v>30</v>
      </c>
      <c r="H12" s="22" t="b">
        <f t="shared" ref="H12:H14" si="0">AND(E12&gt;=F12,E12&lt;=G12)</f>
        <v>1</v>
      </c>
      <c r="I12" s="5">
        <v>4</v>
      </c>
      <c r="J12" s="5" t="s">
        <v>76</v>
      </c>
    </row>
    <row r="13" spans="1:10" x14ac:dyDescent="0.25">
      <c r="A13" s="5" t="s">
        <v>119</v>
      </c>
      <c r="B13" s="5"/>
      <c r="D13" s="8" t="s">
        <v>121</v>
      </c>
      <c r="E13" s="21"/>
      <c r="F13" s="5"/>
      <c r="G13" s="5"/>
      <c r="H13" s="5"/>
      <c r="I13" s="5"/>
      <c r="J13" s="5"/>
    </row>
    <row r="14" spans="1:10" x14ac:dyDescent="0.25">
      <c r="A14" s="22" t="s">
        <v>80</v>
      </c>
      <c r="B14" s="5"/>
      <c r="C14" s="6" t="s">
        <v>81</v>
      </c>
      <c r="D14" s="8"/>
      <c r="E14" s="21">
        <f>E11-E12</f>
        <v>6.4000000000000021</v>
      </c>
      <c r="F14" s="22">
        <v>0</v>
      </c>
      <c r="G14" s="22">
        <v>30</v>
      </c>
      <c r="H14" s="22" t="b">
        <f t="shared" si="0"/>
        <v>1</v>
      </c>
      <c r="I14" s="5"/>
      <c r="J14" s="5" t="s">
        <v>82</v>
      </c>
    </row>
    <row r="15" spans="1:10" x14ac:dyDescent="0.25">
      <c r="A15" s="5" t="s">
        <v>0</v>
      </c>
      <c r="B15" s="5"/>
      <c r="C15" s="6" t="s">
        <v>86</v>
      </c>
      <c r="D15" s="7"/>
      <c r="E15" s="21"/>
      <c r="F15" s="5"/>
      <c r="G15" s="5"/>
      <c r="H15" s="5"/>
      <c r="I15" s="5"/>
      <c r="J15" s="5"/>
    </row>
    <row r="16" spans="1:10" ht="30" x14ac:dyDescent="0.25">
      <c r="A16" s="5" t="s">
        <v>0</v>
      </c>
      <c r="B16" s="5"/>
      <c r="C16" s="6" t="s">
        <v>88</v>
      </c>
      <c r="D16" s="7"/>
      <c r="E16" s="21"/>
      <c r="F16" s="5"/>
      <c r="G16" s="5"/>
      <c r="H16" s="5"/>
      <c r="I16" s="5"/>
      <c r="J16" s="5"/>
    </row>
    <row r="17" spans="1:10" x14ac:dyDescent="0.25">
      <c r="A17" s="5" t="s">
        <v>50</v>
      </c>
      <c r="B17" s="5">
        <v>1</v>
      </c>
      <c r="C17" s="6" t="s">
        <v>87</v>
      </c>
      <c r="D17" s="11" t="s">
        <v>113</v>
      </c>
      <c r="E17" s="21" t="str">
        <f>IF(E6&gt;35,"=large ~small","large ~=small")</f>
        <v>=large ~small</v>
      </c>
      <c r="F17" s="5"/>
      <c r="G17" s="5"/>
      <c r="H17" s="5"/>
      <c r="I17" s="5"/>
      <c r="J17" s="5"/>
    </row>
    <row r="18" spans="1:10" x14ac:dyDescent="0.25">
      <c r="A18" s="5" t="s">
        <v>0</v>
      </c>
      <c r="B18" s="5"/>
      <c r="C18" s="6" t="s">
        <v>253</v>
      </c>
      <c r="D18" s="7"/>
      <c r="E18" s="21"/>
      <c r="F18" s="5"/>
      <c r="G18" s="5"/>
      <c r="H18" s="5"/>
      <c r="I18" s="5"/>
      <c r="J18" s="5"/>
    </row>
    <row r="19" spans="1:10" ht="60" x14ac:dyDescent="0.25">
      <c r="A19" s="5" t="s">
        <v>0</v>
      </c>
      <c r="B19" s="5"/>
      <c r="C19" s="6" t="s">
        <v>254</v>
      </c>
      <c r="D19" s="7"/>
      <c r="E19" s="21"/>
      <c r="F19" s="5"/>
      <c r="G19" s="5"/>
      <c r="H19" s="5"/>
      <c r="I19" s="5"/>
      <c r="J19" s="5"/>
    </row>
    <row r="20" spans="1:10" x14ac:dyDescent="0.25">
      <c r="A20" s="5" t="s">
        <v>48</v>
      </c>
      <c r="B20" s="5">
        <v>2</v>
      </c>
      <c r="C20" s="6" t="s">
        <v>255</v>
      </c>
      <c r="D20" s="11" t="s">
        <v>256</v>
      </c>
      <c r="E20" s="21">
        <f>'Aux-Calc'!D31</f>
        <v>36.600000000000009</v>
      </c>
      <c r="F20" s="5"/>
      <c r="G20" s="5"/>
      <c r="H20" s="5"/>
      <c r="I20" s="5">
        <v>4</v>
      </c>
      <c r="J20" s="5" t="s">
        <v>257</v>
      </c>
    </row>
  </sheetData>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5"/>
  <dimension ref="A1:N84"/>
  <sheetViews>
    <sheetView zoomScale="80" zoomScaleNormal="80" workbookViewId="0">
      <selection activeCell="C8" sqref="C8"/>
    </sheetView>
  </sheetViews>
  <sheetFormatPr baseColWidth="10" defaultRowHeight="15" x14ac:dyDescent="0.25"/>
  <cols>
    <col min="2" max="2" width="12" bestFit="1" customWidth="1"/>
    <col min="5" max="5" width="12.7109375" bestFit="1" customWidth="1"/>
  </cols>
  <sheetData>
    <row r="1" spans="1:14" x14ac:dyDescent="0.25">
      <c r="A1" s="1" t="s">
        <v>47</v>
      </c>
    </row>
    <row r="3" spans="1:14" x14ac:dyDescent="0.25">
      <c r="A3" s="1" t="s">
        <v>229</v>
      </c>
      <c r="F3" s="19"/>
      <c r="G3" s="19"/>
      <c r="H3" s="19"/>
      <c r="I3" s="19"/>
      <c r="J3" s="19"/>
    </row>
    <row r="4" spans="1:14" x14ac:dyDescent="0.25">
      <c r="F4" s="19"/>
      <c r="G4" s="19"/>
      <c r="H4" s="19"/>
      <c r="I4" s="19"/>
      <c r="J4" s="19"/>
      <c r="N4" s="1"/>
    </row>
    <row r="5" spans="1:14" x14ac:dyDescent="0.25">
      <c r="A5" t="s">
        <v>230</v>
      </c>
      <c r="F5" s="19"/>
      <c r="G5" s="20"/>
      <c r="H5" s="19"/>
      <c r="I5" s="19"/>
      <c r="J5" s="20"/>
    </row>
    <row r="6" spans="1:14" x14ac:dyDescent="0.25">
      <c r="A6" t="s">
        <v>231</v>
      </c>
      <c r="B6">
        <f>Intro!D5</f>
        <v>7</v>
      </c>
      <c r="C6" t="s">
        <v>232</v>
      </c>
      <c r="F6" s="19"/>
      <c r="G6" s="19"/>
      <c r="H6" s="19"/>
      <c r="I6" s="19"/>
      <c r="J6" s="19"/>
    </row>
    <row r="7" spans="1:14" x14ac:dyDescent="0.25">
      <c r="A7" t="s">
        <v>233</v>
      </c>
      <c r="B7">
        <f>Intro!D6</f>
        <v>3.9</v>
      </c>
      <c r="C7" t="s">
        <v>232</v>
      </c>
      <c r="F7" s="19"/>
      <c r="G7" s="19"/>
      <c r="H7" s="19"/>
      <c r="I7" s="19"/>
      <c r="J7" s="19"/>
    </row>
    <row r="8" spans="1:14" x14ac:dyDescent="0.25">
      <c r="A8" t="s">
        <v>234</v>
      </c>
      <c r="B8">
        <f>B6*B7</f>
        <v>27.3</v>
      </c>
      <c r="C8" t="s">
        <v>235</v>
      </c>
      <c r="F8" s="19"/>
      <c r="G8" s="19"/>
      <c r="H8" s="19"/>
      <c r="I8" s="19"/>
      <c r="J8" s="19"/>
    </row>
    <row r="9" spans="1:14" x14ac:dyDescent="0.25">
      <c r="F9" s="19"/>
      <c r="G9" s="19"/>
      <c r="H9" s="19"/>
      <c r="I9" s="19"/>
      <c r="J9" s="19"/>
    </row>
    <row r="10" spans="1:14" x14ac:dyDescent="0.25">
      <c r="A10" t="s">
        <v>236</v>
      </c>
      <c r="F10" s="19"/>
      <c r="G10" s="19"/>
      <c r="H10" s="19"/>
      <c r="I10" s="19"/>
      <c r="J10" s="19"/>
    </row>
    <row r="11" spans="1:14" x14ac:dyDescent="0.25">
      <c r="A11" t="s">
        <v>237</v>
      </c>
      <c r="B11">
        <f>Intro!D7</f>
        <v>5.5</v>
      </c>
      <c r="C11" t="s">
        <v>232</v>
      </c>
      <c r="F11" s="19"/>
      <c r="G11" s="19"/>
      <c r="H11" s="19"/>
      <c r="I11" s="19"/>
      <c r="J11" s="19"/>
    </row>
    <row r="12" spans="1:14" x14ac:dyDescent="0.25">
      <c r="A12" t="s">
        <v>238</v>
      </c>
      <c r="B12">
        <f>Intro!D8</f>
        <v>3.8</v>
      </c>
      <c r="C12" t="s">
        <v>232</v>
      </c>
      <c r="F12" s="19"/>
      <c r="G12" s="19"/>
      <c r="H12" s="19"/>
      <c r="I12" s="19"/>
      <c r="J12" s="19"/>
    </row>
    <row r="13" spans="1:14" x14ac:dyDescent="0.25">
      <c r="A13" t="s">
        <v>234</v>
      </c>
      <c r="B13">
        <f>B11*B12</f>
        <v>20.9</v>
      </c>
      <c r="C13" t="s">
        <v>235</v>
      </c>
      <c r="F13" s="19"/>
      <c r="G13" s="19"/>
      <c r="H13" s="19"/>
      <c r="I13" s="19"/>
      <c r="J13" s="19"/>
    </row>
    <row r="14" spans="1:14" x14ac:dyDescent="0.25">
      <c r="F14" s="19"/>
      <c r="G14" s="19"/>
      <c r="H14" s="19"/>
      <c r="I14" s="19"/>
      <c r="J14" s="19"/>
    </row>
    <row r="15" spans="1:14" x14ac:dyDescent="0.25">
      <c r="A15" s="1" t="s">
        <v>239</v>
      </c>
    </row>
    <row r="17" spans="1:5" x14ac:dyDescent="0.25">
      <c r="A17" t="s">
        <v>240</v>
      </c>
    </row>
    <row r="18" spans="1:5" x14ac:dyDescent="0.25">
      <c r="A18" t="s">
        <v>241</v>
      </c>
    </row>
    <row r="19" spans="1:5" x14ac:dyDescent="0.25">
      <c r="A19" t="s">
        <v>234</v>
      </c>
      <c r="B19" s="16">
        <f>Evaluation!F8+Evaluation!F9</f>
        <v>44.599999999999994</v>
      </c>
      <c r="C19" t="s">
        <v>235</v>
      </c>
    </row>
    <row r="22" spans="1:5" x14ac:dyDescent="0.25">
      <c r="A22" s="1" t="s">
        <v>242</v>
      </c>
    </row>
    <row r="23" spans="1:5" x14ac:dyDescent="0.25">
      <c r="A23" s="1"/>
    </row>
    <row r="24" spans="1:5" x14ac:dyDescent="0.25">
      <c r="A24" t="s">
        <v>243</v>
      </c>
    </row>
    <row r="25" spans="1:5" x14ac:dyDescent="0.25">
      <c r="B25" s="17"/>
    </row>
    <row r="26" spans="1:5" x14ac:dyDescent="0.25">
      <c r="A26" t="s">
        <v>244</v>
      </c>
      <c r="C26">
        <f>2*(B6+B7)</f>
        <v>21.8</v>
      </c>
      <c r="D26" t="s">
        <v>232</v>
      </c>
    </row>
    <row r="27" spans="1:5" x14ac:dyDescent="0.25">
      <c r="A27" t="s">
        <v>245</v>
      </c>
      <c r="C27">
        <f>2*(B11+B12)</f>
        <v>18.600000000000001</v>
      </c>
      <c r="D27" t="s">
        <v>232</v>
      </c>
    </row>
    <row r="29" spans="1:5" x14ac:dyDescent="0.25">
      <c r="A29" t="s">
        <v>246</v>
      </c>
      <c r="C29">
        <f>MIN(B6:B7,B11:B12)</f>
        <v>3.8</v>
      </c>
      <c r="D29" t="s">
        <v>232</v>
      </c>
    </row>
    <row r="31" spans="1:5" x14ac:dyDescent="0.25">
      <c r="A31" t="s">
        <v>247</v>
      </c>
      <c r="D31">
        <f>C26+C27-C29</f>
        <v>36.600000000000009</v>
      </c>
      <c r="E31" t="s">
        <v>232</v>
      </c>
    </row>
    <row r="33" spans="2:3" x14ac:dyDescent="0.25">
      <c r="C33" s="2"/>
    </row>
    <row r="34" spans="2:3" x14ac:dyDescent="0.25">
      <c r="B34" s="17"/>
      <c r="C34" s="2"/>
    </row>
    <row r="35" spans="2:3" x14ac:dyDescent="0.25">
      <c r="B35" s="17"/>
      <c r="C35" s="2"/>
    </row>
    <row r="39" spans="2:3" x14ac:dyDescent="0.25">
      <c r="B39" s="17"/>
    </row>
    <row r="40" spans="2:3" x14ac:dyDescent="0.25">
      <c r="B40" s="17"/>
    </row>
    <row r="42" spans="2:3" x14ac:dyDescent="0.25">
      <c r="C42" s="17"/>
    </row>
    <row r="43" spans="2:3" x14ac:dyDescent="0.25">
      <c r="C43" s="17"/>
    </row>
    <row r="44" spans="2:3" x14ac:dyDescent="0.25">
      <c r="C44" s="17"/>
    </row>
    <row r="46" spans="2:3" x14ac:dyDescent="0.25">
      <c r="B46" s="18"/>
    </row>
    <row r="47" spans="2:3" x14ac:dyDescent="0.25">
      <c r="B47" s="18"/>
    </row>
    <row r="48" spans="2:3" x14ac:dyDescent="0.25">
      <c r="B48" s="17"/>
      <c r="C48" s="17"/>
    </row>
    <row r="52" spans="1:4" x14ac:dyDescent="0.25">
      <c r="C52" s="17"/>
    </row>
    <row r="57" spans="1:4" x14ac:dyDescent="0.25">
      <c r="B57" s="15"/>
    </row>
    <row r="58" spans="1:4" x14ac:dyDescent="0.25">
      <c r="B58" s="15"/>
    </row>
    <row r="60" spans="1:4" x14ac:dyDescent="0.25">
      <c r="D60" s="15"/>
    </row>
    <row r="64" spans="1:4" x14ac:dyDescent="0.25">
      <c r="A64" s="1"/>
    </row>
    <row r="69" spans="2:3" x14ac:dyDescent="0.25">
      <c r="B69" s="17"/>
    </row>
    <row r="71" spans="2:3" x14ac:dyDescent="0.25">
      <c r="C71" s="2"/>
    </row>
    <row r="73" spans="2:3" x14ac:dyDescent="0.25">
      <c r="C73" s="15"/>
    </row>
    <row r="77" spans="2:3" x14ac:dyDescent="0.25">
      <c r="C77" s="2"/>
    </row>
    <row r="78" spans="2:3" x14ac:dyDescent="0.25">
      <c r="B78" s="17"/>
      <c r="C78" s="2"/>
    </row>
    <row r="79" spans="2:3" x14ac:dyDescent="0.25">
      <c r="B79" s="17"/>
      <c r="C79" s="2"/>
    </row>
    <row r="83" spans="2:3" x14ac:dyDescent="0.25">
      <c r="B83" s="17"/>
    </row>
    <row r="84" spans="2:3" x14ac:dyDescent="0.25">
      <c r="B84" s="17"/>
      <c r="C84" s="17"/>
    </row>
  </sheetData>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0"/>
  <dimension ref="A1:I7"/>
  <sheetViews>
    <sheetView workbookViewId="0">
      <selection activeCell="F13" sqref="F13"/>
    </sheetView>
  </sheetViews>
  <sheetFormatPr baseColWidth="10" defaultRowHeight="15" x14ac:dyDescent="0.25"/>
  <sheetData>
    <row r="1" spans="1:9" x14ac:dyDescent="0.25">
      <c r="A1" t="s">
        <v>91</v>
      </c>
      <c r="B1">
        <v>1</v>
      </c>
      <c r="C1">
        <v>2</v>
      </c>
      <c r="D1">
        <v>3</v>
      </c>
      <c r="E1">
        <v>4</v>
      </c>
      <c r="F1">
        <v>5</v>
      </c>
      <c r="G1">
        <v>6</v>
      </c>
      <c r="H1">
        <v>7</v>
      </c>
      <c r="I1">
        <v>8</v>
      </c>
    </row>
    <row r="2" spans="1:9" x14ac:dyDescent="0.25">
      <c r="A2" t="s">
        <v>92</v>
      </c>
      <c r="B2" s="24" t="s">
        <v>93</v>
      </c>
      <c r="C2" s="24" t="s">
        <v>94</v>
      </c>
      <c r="D2" s="24" t="s">
        <v>95</v>
      </c>
    </row>
    <row r="3" spans="1:9" x14ac:dyDescent="0.25">
      <c r="A3" t="s">
        <v>96</v>
      </c>
    </row>
    <row r="4" spans="1:9" x14ac:dyDescent="0.25">
      <c r="A4">
        <v>1</v>
      </c>
      <c r="B4" s="2" t="s">
        <v>97</v>
      </c>
      <c r="C4" t="s">
        <v>98</v>
      </c>
      <c r="D4" s="2" t="s">
        <v>99</v>
      </c>
    </row>
    <row r="5" spans="1:9" x14ac:dyDescent="0.25">
      <c r="A5">
        <v>2</v>
      </c>
      <c r="B5" s="2" t="s">
        <v>100</v>
      </c>
      <c r="C5" t="s">
        <v>101</v>
      </c>
      <c r="D5" s="2" t="s">
        <v>102</v>
      </c>
    </row>
    <row r="6" spans="1:9" x14ac:dyDescent="0.25">
      <c r="A6">
        <v>3</v>
      </c>
      <c r="B6" s="2" t="s">
        <v>75</v>
      </c>
      <c r="C6" t="s">
        <v>103</v>
      </c>
      <c r="D6" s="2" t="s">
        <v>104</v>
      </c>
    </row>
    <row r="7" spans="1:9" x14ac:dyDescent="0.25">
      <c r="A7">
        <v>4</v>
      </c>
      <c r="B7" s="2" t="s">
        <v>76</v>
      </c>
      <c r="C7" t="s">
        <v>105</v>
      </c>
      <c r="D7" s="2" t="s">
        <v>106</v>
      </c>
    </row>
  </sheetData>
  <hyperlinks>
    <hyperlink ref="B2" r:id="rId1" xr:uid="{00000000-0004-0000-0300-000000000000}"/>
    <hyperlink ref="C2" r:id="rId2" xr:uid="{00000000-0004-0000-0300-000001000000}"/>
    <hyperlink ref="D2" r:id="rId3" xr:uid="{00000000-0004-0000-0300-000002000000}"/>
  </hyperlink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R14"/>
  <sheetViews>
    <sheetView zoomScaleNormal="100" workbookViewId="0">
      <selection activeCell="H8" sqref="H8"/>
    </sheetView>
  </sheetViews>
  <sheetFormatPr baseColWidth="10" defaultRowHeight="15" x14ac:dyDescent="0.25"/>
  <cols>
    <col min="1" max="1" width="15" customWidth="1"/>
  </cols>
  <sheetData>
    <row r="1" spans="1:18" x14ac:dyDescent="0.25">
      <c r="A1" t="s">
        <v>14</v>
      </c>
    </row>
    <row r="2" spans="1:18" x14ac:dyDescent="0.25">
      <c r="A2" t="s">
        <v>15</v>
      </c>
      <c r="B2">
        <v>5</v>
      </c>
      <c r="C2" t="s">
        <v>45</v>
      </c>
    </row>
    <row r="3" spans="1:18" x14ac:dyDescent="0.25">
      <c r="A3" t="s">
        <v>16</v>
      </c>
      <c r="B3" s="23" t="b">
        <v>1</v>
      </c>
      <c r="C3" t="s">
        <v>17</v>
      </c>
    </row>
    <row r="5" spans="1:18" x14ac:dyDescent="0.25">
      <c r="A5">
        <v>1</v>
      </c>
      <c r="B5">
        <v>2</v>
      </c>
      <c r="C5">
        <v>3</v>
      </c>
      <c r="D5">
        <v>4</v>
      </c>
      <c r="E5">
        <v>5</v>
      </c>
      <c r="F5">
        <v>6</v>
      </c>
      <c r="G5">
        <v>7</v>
      </c>
      <c r="H5">
        <v>8</v>
      </c>
      <c r="I5">
        <v>9</v>
      </c>
      <c r="J5">
        <v>10</v>
      </c>
      <c r="K5">
        <v>11</v>
      </c>
      <c r="L5">
        <v>12</v>
      </c>
      <c r="M5">
        <v>13</v>
      </c>
      <c r="N5">
        <v>14</v>
      </c>
      <c r="O5">
        <v>15</v>
      </c>
      <c r="P5">
        <v>16</v>
      </c>
      <c r="Q5">
        <v>17</v>
      </c>
      <c r="R5">
        <v>18</v>
      </c>
    </row>
    <row r="6" spans="1:18" x14ac:dyDescent="0.25">
      <c r="A6" t="s">
        <v>11</v>
      </c>
      <c r="B6" t="s">
        <v>71</v>
      </c>
      <c r="C6" t="s">
        <v>72</v>
      </c>
      <c r="D6" t="s">
        <v>73</v>
      </c>
      <c r="E6" t="s">
        <v>74</v>
      </c>
      <c r="F6" t="s">
        <v>79</v>
      </c>
      <c r="G6" t="s">
        <v>75</v>
      </c>
      <c r="H6" t="s">
        <v>76</v>
      </c>
    </row>
    <row r="7" spans="1:18" x14ac:dyDescent="0.25">
      <c r="A7">
        <v>1</v>
      </c>
      <c r="B7">
        <v>5.3</v>
      </c>
      <c r="C7">
        <v>4.3</v>
      </c>
      <c r="D7">
        <v>2.9</v>
      </c>
      <c r="E7">
        <v>3.1</v>
      </c>
      <c r="F7">
        <v>31.78</v>
      </c>
      <c r="G7">
        <v>22.79</v>
      </c>
      <c r="H7">
        <v>8.99</v>
      </c>
    </row>
    <row r="8" spans="1:18" x14ac:dyDescent="0.25">
      <c r="A8">
        <v>2</v>
      </c>
      <c r="B8">
        <v>5.9</v>
      </c>
      <c r="C8">
        <v>3.2</v>
      </c>
      <c r="D8">
        <v>2.8</v>
      </c>
      <c r="E8">
        <v>4</v>
      </c>
      <c r="F8">
        <v>30.080000000000002</v>
      </c>
      <c r="G8">
        <v>18.880000000000003</v>
      </c>
      <c r="H8" s="14">
        <v>11.2</v>
      </c>
    </row>
    <row r="9" spans="1:18" x14ac:dyDescent="0.25">
      <c r="A9">
        <v>3</v>
      </c>
      <c r="B9">
        <v>5.6</v>
      </c>
      <c r="C9">
        <v>3</v>
      </c>
      <c r="D9">
        <v>4.3</v>
      </c>
      <c r="E9">
        <v>3.2</v>
      </c>
      <c r="F9" s="14">
        <v>30.559999999999995</v>
      </c>
      <c r="G9">
        <v>16.799999999999997</v>
      </c>
      <c r="H9">
        <v>13.76</v>
      </c>
    </row>
    <row r="10" spans="1:18" x14ac:dyDescent="0.25">
      <c r="A10">
        <v>4</v>
      </c>
      <c r="B10">
        <v>6.6</v>
      </c>
      <c r="C10">
        <v>4.2</v>
      </c>
      <c r="D10">
        <v>3.6</v>
      </c>
      <c r="E10">
        <v>3.1</v>
      </c>
      <c r="F10">
        <v>38.879999999999995</v>
      </c>
      <c r="G10">
        <v>27.72</v>
      </c>
      <c r="H10">
        <v>11.16</v>
      </c>
    </row>
    <row r="11" spans="1:18" x14ac:dyDescent="0.25">
      <c r="A11">
        <v>5</v>
      </c>
      <c r="B11">
        <v>5.6</v>
      </c>
      <c r="C11">
        <v>2.5</v>
      </c>
      <c r="D11">
        <v>4</v>
      </c>
      <c r="E11">
        <v>2.8</v>
      </c>
      <c r="F11">
        <v>25.2</v>
      </c>
      <c r="G11">
        <v>14</v>
      </c>
      <c r="H11">
        <v>11.2</v>
      </c>
    </row>
    <row r="14" spans="1:18" x14ac:dyDescent="0.25">
      <c r="H14" s="14"/>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en_Rand_Sets">
                <anchor moveWithCells="1" sizeWithCells="1">
                  <from>
                    <xdr:col>3</xdr:col>
                    <xdr:colOff>276225</xdr:colOff>
                    <xdr:row>0</xdr:row>
                    <xdr:rowOff>85725</xdr:rowOff>
                  </from>
                  <to>
                    <xdr:col>5</xdr:col>
                    <xdr:colOff>666750</xdr:colOff>
                    <xdr:row>2</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BFB48-542F-49A5-92A4-14ED24B0E01E}">
  <sheetPr codeName="Tabelle9"/>
  <dimension ref="A1:I15"/>
  <sheetViews>
    <sheetView workbookViewId="0">
      <selection activeCell="H9" sqref="H9"/>
    </sheetView>
  </sheetViews>
  <sheetFormatPr baseColWidth="10" defaultRowHeight="15" x14ac:dyDescent="0.25"/>
  <cols>
    <col min="1" max="1" width="44.28515625" customWidth="1"/>
  </cols>
  <sheetData>
    <row r="1" spans="1:9" x14ac:dyDescent="0.25">
      <c r="A1" s="1" t="s">
        <v>51</v>
      </c>
    </row>
    <row r="2" spans="1:9" x14ac:dyDescent="0.25">
      <c r="B2" t="s">
        <v>223</v>
      </c>
      <c r="C2" t="s">
        <v>228</v>
      </c>
    </row>
    <row r="3" spans="1:9" x14ac:dyDescent="0.25">
      <c r="A3" t="s">
        <v>227</v>
      </c>
      <c r="B3">
        <v>1</v>
      </c>
      <c r="C3">
        <v>1</v>
      </c>
    </row>
    <row r="4" spans="1:9" x14ac:dyDescent="0.25">
      <c r="A4" t="s">
        <v>226</v>
      </c>
      <c r="B4" t="str">
        <f>"&lt;p&gt;&lt;b&gt;Grading:  &lt;/b&gt;The grading takes into account your interims results.&lt;/p&gt;"&amp;I6&amp;I8&amp;I9&amp;I10&amp;I12&amp;"&lt;/p&gt;"&amp;A16</f>
        <v>&lt;p&gt;&lt;b&gt;Grading:  &lt;/b&gt;The grading takes into account your interims results.&lt;/p&gt;&lt;p&gt;total points (scaled, factor 1,00): 2/5 P; bonus points (scaled, factor 1,00): 2/2 P.&lt;/p&gt;&lt;p&gt;Interim results (unscaled):&lt;/p&gt;&lt;p&gt;Area A (correct: 2,73E+1): 0/1 P. &lt;br&gt;Area B (correct: 2,09E+1): 1/1 P. &lt;br&gt;Area appartment (correct: 4,46E+1): 0/2 P. &lt;br&gt;Bonus length Keystones (correct: 3,66E+1): 2/2 P. &lt;br&gt;&lt;/p&gt;</v>
      </c>
    </row>
    <row r="5" spans="1:9" x14ac:dyDescent="0.25">
      <c r="A5" t="s">
        <v>225</v>
      </c>
      <c r="B5">
        <v>20</v>
      </c>
      <c r="F5" t="s">
        <v>224</v>
      </c>
      <c r="G5">
        <f>SUM(G12:G12)*$C$3</f>
        <v>2</v>
      </c>
      <c r="H5">
        <f>SUM(H12:H12)*$C$3</f>
        <v>2</v>
      </c>
    </row>
    <row r="6" spans="1:9" x14ac:dyDescent="0.25">
      <c r="F6" t="s">
        <v>223</v>
      </c>
      <c r="G6">
        <f>(SUM(G8:G11)*$B$3)</f>
        <v>5</v>
      </c>
      <c r="H6">
        <f>SUM(H8:H11)*$B$3</f>
        <v>2</v>
      </c>
      <c r="I6" t="str">
        <f>"&lt;p&gt;total points (scaled, factor "&amp;TEXT(B3,"0,00")&amp;"): "&amp;H6&amp;"/"&amp;G6&amp;" P"&amp;IF(C3&gt;0,"; bonus points (scaled, factor "&amp;TEXT(C3,"0,00")&amp;"): "&amp;H5&amp;"/"&amp;G5&amp;" P","")&amp;".&lt;/p&gt;&lt;p&gt;Interim results (unscaled):&lt;/p&gt;&lt;p&gt;"</f>
        <v>&lt;p&gt;total points (scaled, factor 1,00): 2/5 P; bonus points (scaled, factor 1,00): 2/2 P.&lt;/p&gt;&lt;p&gt;Interim results (unscaled):&lt;/p&gt;&lt;p&gt;</v>
      </c>
    </row>
    <row r="7" spans="1:9" x14ac:dyDescent="0.25">
      <c r="A7" t="s">
        <v>3</v>
      </c>
      <c r="B7" t="s">
        <v>222</v>
      </c>
      <c r="C7" t="s">
        <v>221</v>
      </c>
      <c r="D7" t="s">
        <v>220</v>
      </c>
      <c r="E7" t="s">
        <v>219</v>
      </c>
      <c r="F7" t="s">
        <v>218</v>
      </c>
      <c r="G7" t="s">
        <v>217</v>
      </c>
      <c r="H7" t="s">
        <v>216</v>
      </c>
      <c r="I7" t="s">
        <v>215</v>
      </c>
    </row>
    <row r="8" spans="1:9" x14ac:dyDescent="0.25">
      <c r="A8" t="s">
        <v>214</v>
      </c>
      <c r="B8" t="s">
        <v>48</v>
      </c>
      <c r="C8">
        <v>10</v>
      </c>
      <c r="D8" s="16">
        <f>'Aux-Calc'!B8</f>
        <v>27.3</v>
      </c>
      <c r="E8" s="16">
        <v>23.7</v>
      </c>
      <c r="F8" s="16">
        <f>IF(E8&lt;&gt;"",E8,D8)</f>
        <v>23.7</v>
      </c>
      <c r="G8">
        <v>1</v>
      </c>
      <c r="H8">
        <f>IF(D8=0,IF(D8=E8,G8,0),IF(ABS((E8-D8)/D8)&lt;=Gen_output!$B$11,Evaluation!G8,IF(ABS((E8-D8)/D8)&lt;=Gen_output!$B$12,G8/2,0)))</f>
        <v>0</v>
      </c>
      <c r="I8" t="str">
        <f>IF(C8&lt;&gt;"",A8&amp;" (correct: "&amp;TEXT(D8,"0,00E+0")&amp;"): "&amp;H8&amp;"/"&amp;G8&amp;" P. &lt;br&gt;","")</f>
        <v>Area A (correct: 2,73E+1): 0/1 P. &lt;br&gt;</v>
      </c>
    </row>
    <row r="9" spans="1:9" x14ac:dyDescent="0.25">
      <c r="A9" t="s">
        <v>213</v>
      </c>
      <c r="B9" t="s">
        <v>48</v>
      </c>
      <c r="C9">
        <v>11</v>
      </c>
      <c r="D9" s="16">
        <f>'Aux-Calc'!B13</f>
        <v>20.9</v>
      </c>
      <c r="E9" s="16">
        <v>20.9</v>
      </c>
      <c r="F9" s="16">
        <f>IF(E9&lt;&gt;"",E9,D9)</f>
        <v>20.9</v>
      </c>
      <c r="G9">
        <v>1</v>
      </c>
      <c r="H9">
        <f>IF(D9=0,IF(D9=E9,G9,0),IF(ABS((E9-D9)/D9)&lt;=Gen_output!$B$11,Evaluation!G9,IF(ABS((E9-D9)/D9)&lt;=Gen_output!$B$12,G9/2,0)))</f>
        <v>1</v>
      </c>
      <c r="I9" t="str">
        <f>IF(C9&lt;&gt;"",A9&amp;" (correct: "&amp;TEXT(D9,"0,00E+0")&amp;"): "&amp;H9&amp;"/"&amp;G9&amp;" P. &lt;br&gt;","")</f>
        <v>Area B (correct: 2,09E+1): 1/1 P. &lt;br&gt;</v>
      </c>
    </row>
    <row r="10" spans="1:9" x14ac:dyDescent="0.25">
      <c r="A10" s="1" t="s">
        <v>212</v>
      </c>
      <c r="B10" s="1" t="s">
        <v>48</v>
      </c>
      <c r="C10" s="1">
        <v>9</v>
      </c>
      <c r="D10" s="31">
        <f>'Aux-Calc'!B19</f>
        <v>44.599999999999994</v>
      </c>
      <c r="E10" s="31">
        <v>48.2</v>
      </c>
      <c r="F10" s="31">
        <f>IF(E10&lt;&gt;"",E10,D10)</f>
        <v>48.2</v>
      </c>
      <c r="G10" s="1">
        <v>2</v>
      </c>
      <c r="H10">
        <f>IF(D10=0,IF(D10=E10,G10,0),IF(ABS((E10-D10)/D10)&lt;=Gen_output!$B$11,Evaluation!G10,IF(ABS((E10-D10)/D10)&lt;=Gen_output!$B$12,G10/2,0)))</f>
        <v>0</v>
      </c>
      <c r="I10" t="str">
        <f>IF(C10&lt;&gt;"",A10&amp;" (correct: "&amp;TEXT(D10,"0,00E+0")&amp;"): "&amp;H10&amp;"/"&amp;G10&amp;" P. &lt;br&gt;","")</f>
        <v>Area appartment (correct: 4,46E+1): 0/2 P. &lt;br&gt;</v>
      </c>
    </row>
    <row r="11" spans="1:9" x14ac:dyDescent="0.25">
      <c r="A11" s="1" t="s">
        <v>211</v>
      </c>
      <c r="B11" s="1" t="s">
        <v>50</v>
      </c>
      <c r="C11" s="1">
        <v>12</v>
      </c>
      <c r="D11" s="31"/>
      <c r="E11" s="31" t="b">
        <v>1</v>
      </c>
      <c r="F11" s="31"/>
      <c r="G11" s="1">
        <v>1</v>
      </c>
      <c r="H11" s="1">
        <f>IF(E11,G11,0)</f>
        <v>1</v>
      </c>
    </row>
    <row r="12" spans="1:9" x14ac:dyDescent="0.25">
      <c r="A12" s="1" t="s">
        <v>210</v>
      </c>
      <c r="B12" s="1" t="s">
        <v>48</v>
      </c>
      <c r="C12" s="1">
        <v>13</v>
      </c>
      <c r="D12" s="31">
        <f>'Aux-Calc'!D31</f>
        <v>36.600000000000009</v>
      </c>
      <c r="E12" s="31">
        <v>36.6</v>
      </c>
      <c r="F12" s="31">
        <f>IF(E12&lt;&gt;"",E12,D12)</f>
        <v>36.6</v>
      </c>
      <c r="G12" s="1">
        <v>2</v>
      </c>
      <c r="H12">
        <f>IF(D12=0,IF(D12=E12,G12,0),IF(ABS((E12-D12)/D12)&lt;=Gen_output!$B$11,Evaluation!G12,IF(ABS((E12-D12)/D12)&lt;=Gen_output!$B$12,G12/2,0)))</f>
        <v>2</v>
      </c>
      <c r="I12" t="str">
        <f>IF(C12&lt;&gt;"",A12&amp;" (correct: "&amp;TEXT(D12,"0,00E+0")&amp;"): "&amp;H12&amp;"/"&amp;G12&amp;" P. &lt;br&gt;","")</f>
        <v>Bonus length Keystones (correct: 3,66E+1): 2/2 P. &lt;br&gt;</v>
      </c>
    </row>
    <row r="15" spans="1:9" x14ac:dyDescent="0.25">
      <c r="A15" t="s">
        <v>209</v>
      </c>
    </row>
  </sheetData>
  <pageMargins left="0.7" right="0.7" top="0.78740157499999996" bottom="0.78740157499999996"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B8305-18A0-4C07-86BD-3F5F8B1DED4B}">
  <sheetPr codeName="Tabelle8"/>
  <dimension ref="A1:T8"/>
  <sheetViews>
    <sheetView tabSelected="1" workbookViewId="0">
      <selection activeCell="F8" sqref="F8"/>
    </sheetView>
  </sheetViews>
  <sheetFormatPr baseColWidth="10" defaultRowHeight="15.75" x14ac:dyDescent="0.25"/>
  <cols>
    <col min="1" max="16384" width="11.42578125" style="25"/>
  </cols>
  <sheetData>
    <row r="1" spans="1:20" x14ac:dyDescent="0.25">
      <c r="A1" s="25" t="s">
        <v>208</v>
      </c>
    </row>
    <row r="2" spans="1:20" x14ac:dyDescent="0.25">
      <c r="A2" s="25" t="s">
        <v>207</v>
      </c>
      <c r="B2" s="25">
        <v>6</v>
      </c>
    </row>
    <row r="3" spans="1:20" x14ac:dyDescent="0.25">
      <c r="A3" s="25" t="s">
        <v>206</v>
      </c>
      <c r="B3" s="25">
        <v>1</v>
      </c>
    </row>
    <row r="4" spans="1:20" x14ac:dyDescent="0.25">
      <c r="A4" s="25" t="s">
        <v>132</v>
      </c>
      <c r="B4" s="25" t="s">
        <v>133</v>
      </c>
      <c r="C4" s="25" t="s">
        <v>205</v>
      </c>
      <c r="D4" s="25" t="s">
        <v>7</v>
      </c>
      <c r="E4" s="25" t="s">
        <v>204</v>
      </c>
      <c r="F4" s="25" t="s">
        <v>203</v>
      </c>
      <c r="G4" s="25" t="s">
        <v>145</v>
      </c>
      <c r="H4" s="25" t="s">
        <v>146</v>
      </c>
      <c r="I4" s="25">
        <v>9</v>
      </c>
      <c r="J4" s="25">
        <v>10</v>
      </c>
      <c r="K4" s="25">
        <v>11</v>
      </c>
      <c r="L4" s="25">
        <v>12</v>
      </c>
      <c r="M4" s="25">
        <v>13</v>
      </c>
      <c r="N4" s="25">
        <v>14</v>
      </c>
      <c r="O4" s="25">
        <v>15</v>
      </c>
      <c r="P4" s="25">
        <v>16</v>
      </c>
      <c r="Q4" s="25">
        <v>17</v>
      </c>
      <c r="R4" s="25">
        <v>18</v>
      </c>
      <c r="S4" s="25">
        <v>19</v>
      </c>
      <c r="T4" s="25">
        <v>20</v>
      </c>
    </row>
    <row r="5" spans="1:20" x14ac:dyDescent="0.25">
      <c r="A5" s="25" t="s">
        <v>147</v>
      </c>
      <c r="B5" s="25" t="s">
        <v>148</v>
      </c>
      <c r="C5" s="25" t="s">
        <v>261</v>
      </c>
      <c r="D5" s="25">
        <v>5</v>
      </c>
      <c r="E5" s="25">
        <v>2</v>
      </c>
      <c r="F5" s="25" t="s">
        <v>202</v>
      </c>
      <c r="G5" s="25" t="s">
        <v>201</v>
      </c>
      <c r="H5" s="25" t="s">
        <v>200</v>
      </c>
      <c r="I5" s="26">
        <v>37.619999999999997</v>
      </c>
      <c r="J5" s="26">
        <v>27.72</v>
      </c>
      <c r="K5" s="26">
        <v>9.9</v>
      </c>
      <c r="L5" s="27" t="s">
        <v>189</v>
      </c>
      <c r="M5" s="26">
        <v>32.799999999999997</v>
      </c>
      <c r="N5" s="25">
        <v>0</v>
      </c>
      <c r="O5" s="25">
        <v>37.619999999999997</v>
      </c>
      <c r="P5" s="25">
        <v>27.72</v>
      </c>
      <c r="Q5" s="25">
        <v>9.9</v>
      </c>
      <c r="R5" s="25" t="s">
        <v>189</v>
      </c>
      <c r="S5" s="25">
        <v>32.799999999999997</v>
      </c>
      <c r="T5" s="25">
        <v>2</v>
      </c>
    </row>
    <row r="6" spans="1:20" x14ac:dyDescent="0.25">
      <c r="A6" s="25" t="s">
        <v>147</v>
      </c>
      <c r="B6" s="25" t="s">
        <v>148</v>
      </c>
      <c r="C6" s="25" t="s">
        <v>261</v>
      </c>
      <c r="D6" s="25">
        <v>2</v>
      </c>
      <c r="E6" s="25">
        <v>2</v>
      </c>
      <c r="F6" s="25" t="s">
        <v>199</v>
      </c>
      <c r="G6" s="25" t="s">
        <v>198</v>
      </c>
      <c r="H6" s="25" t="s">
        <v>197</v>
      </c>
      <c r="I6" s="28">
        <v>32</v>
      </c>
      <c r="J6" s="26">
        <v>16.47</v>
      </c>
      <c r="K6" s="26">
        <v>10.88</v>
      </c>
      <c r="L6" s="28" t="s">
        <v>189</v>
      </c>
      <c r="M6" s="26">
        <v>28.3</v>
      </c>
      <c r="N6" s="25">
        <v>0</v>
      </c>
      <c r="O6" s="25">
        <v>27.35</v>
      </c>
      <c r="P6" s="25">
        <v>16.47</v>
      </c>
      <c r="Q6" s="25">
        <v>10.88</v>
      </c>
      <c r="R6" s="25" t="s">
        <v>193</v>
      </c>
      <c r="S6" s="25">
        <v>28.1</v>
      </c>
      <c r="T6" s="25">
        <v>1</v>
      </c>
    </row>
    <row r="7" spans="1:20" x14ac:dyDescent="0.25">
      <c r="A7" s="25" t="s">
        <v>147</v>
      </c>
      <c r="B7" s="25" t="s">
        <v>148</v>
      </c>
      <c r="C7" s="25" t="s">
        <v>261</v>
      </c>
      <c r="D7" s="25">
        <v>4</v>
      </c>
      <c r="E7" s="25">
        <v>1</v>
      </c>
      <c r="F7" s="25" t="s">
        <v>196</v>
      </c>
      <c r="G7" s="25" t="s">
        <v>195</v>
      </c>
      <c r="H7" s="25" t="s">
        <v>194</v>
      </c>
      <c r="I7" s="27">
        <v>28.27</v>
      </c>
      <c r="J7" s="26">
        <v>18.489999999999998</v>
      </c>
      <c r="K7" s="28">
        <v>9.7799999999999994</v>
      </c>
      <c r="L7" s="27" t="s">
        <v>193</v>
      </c>
      <c r="M7" s="30">
        <v>27.2</v>
      </c>
      <c r="N7" s="25">
        <v>0</v>
      </c>
      <c r="O7" s="25">
        <v>30.27</v>
      </c>
      <c r="P7" s="25">
        <v>18.489999999999998</v>
      </c>
      <c r="Q7" s="25">
        <v>11.78</v>
      </c>
      <c r="R7" s="25" t="s">
        <v>193</v>
      </c>
      <c r="S7" s="25">
        <v>27.9</v>
      </c>
      <c r="T7" s="25">
        <v>4</v>
      </c>
    </row>
    <row r="8" spans="1:20" x14ac:dyDescent="0.25">
      <c r="A8" s="25" t="s">
        <v>147</v>
      </c>
      <c r="B8" s="25" t="s">
        <v>148</v>
      </c>
      <c r="C8" s="25" t="s">
        <v>261</v>
      </c>
      <c r="D8" s="25">
        <v>2</v>
      </c>
      <c r="E8" s="25">
        <v>2</v>
      </c>
      <c r="F8" s="25" t="s">
        <v>192</v>
      </c>
      <c r="G8" s="25" t="s">
        <v>191</v>
      </c>
      <c r="H8" s="25" t="s">
        <v>190</v>
      </c>
      <c r="I8" s="29">
        <v>48.2</v>
      </c>
      <c r="J8" s="28">
        <v>23.7</v>
      </c>
      <c r="K8" s="26">
        <v>20.9</v>
      </c>
      <c r="L8" s="27" t="s">
        <v>189</v>
      </c>
      <c r="M8" s="26">
        <v>36.6</v>
      </c>
      <c r="N8" s="25">
        <v>0</v>
      </c>
      <c r="O8" s="25">
        <v>48.2</v>
      </c>
      <c r="P8" s="25">
        <v>27.3</v>
      </c>
      <c r="Q8" s="25">
        <v>20.9</v>
      </c>
      <c r="R8" s="25" t="s">
        <v>189</v>
      </c>
      <c r="S8" s="25">
        <v>36.6</v>
      </c>
      <c r="T8" s="25">
        <v>3</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7"/>
  <dimension ref="A1:B26"/>
  <sheetViews>
    <sheetView workbookViewId="0">
      <selection activeCell="C23" sqref="C23"/>
    </sheetView>
  </sheetViews>
  <sheetFormatPr baseColWidth="10" defaultRowHeight="15" x14ac:dyDescent="0.25"/>
  <sheetData>
    <row r="1" spans="1:1" x14ac:dyDescent="0.25">
      <c r="A1" s="1" t="s">
        <v>8</v>
      </c>
    </row>
    <row r="3" spans="1:1" x14ac:dyDescent="0.25">
      <c r="A3" s="1" t="s">
        <v>55</v>
      </c>
    </row>
    <row r="4" spans="1:1" x14ac:dyDescent="0.25">
      <c r="A4" t="s">
        <v>56</v>
      </c>
    </row>
    <row r="5" spans="1:1" x14ac:dyDescent="0.25">
      <c r="A5" t="s">
        <v>57</v>
      </c>
    </row>
    <row r="6" spans="1:1" x14ac:dyDescent="0.25">
      <c r="A6" t="s">
        <v>58</v>
      </c>
    </row>
    <row r="9" spans="1:1" x14ac:dyDescent="0.25">
      <c r="A9" s="1" t="s">
        <v>52</v>
      </c>
    </row>
    <row r="10" spans="1:1" x14ac:dyDescent="0.25">
      <c r="A10" t="s">
        <v>53</v>
      </c>
    </row>
    <row r="11" spans="1:1" x14ac:dyDescent="0.25">
      <c r="A11" t="s">
        <v>54</v>
      </c>
    </row>
    <row r="12" spans="1:1" x14ac:dyDescent="0.25">
      <c r="A12" t="s">
        <v>59</v>
      </c>
    </row>
    <row r="14" spans="1:1" x14ac:dyDescent="0.25">
      <c r="A14" s="1" t="s">
        <v>51</v>
      </c>
    </row>
    <row r="15" spans="1:1" x14ac:dyDescent="0.25">
      <c r="A15" t="s">
        <v>61</v>
      </c>
    </row>
    <row r="16" spans="1:1" x14ac:dyDescent="0.25">
      <c r="A16" t="s">
        <v>62</v>
      </c>
    </row>
    <row r="17" spans="1:2" x14ac:dyDescent="0.25">
      <c r="A17" t="s">
        <v>63</v>
      </c>
    </row>
    <row r="18" spans="1:2" x14ac:dyDescent="0.25">
      <c r="A18" t="s">
        <v>48</v>
      </c>
      <c r="B18" t="s">
        <v>64</v>
      </c>
    </row>
    <row r="19" spans="1:2" x14ac:dyDescent="0.25">
      <c r="A19" t="s">
        <v>60</v>
      </c>
      <c r="B19" t="s">
        <v>65</v>
      </c>
    </row>
    <row r="20" spans="1:2" x14ac:dyDescent="0.25">
      <c r="A20" t="s">
        <v>50</v>
      </c>
      <c r="B20" t="s">
        <v>66</v>
      </c>
    </row>
    <row r="22" spans="1:2" x14ac:dyDescent="0.25">
      <c r="A22" s="1" t="s">
        <v>127</v>
      </c>
    </row>
    <row r="23" spans="1:2" x14ac:dyDescent="0.25">
      <c r="A23" t="s">
        <v>128</v>
      </c>
    </row>
    <row r="24" spans="1:2" x14ac:dyDescent="0.25">
      <c r="A24" t="s">
        <v>129</v>
      </c>
    </row>
    <row r="25" spans="1:2" x14ac:dyDescent="0.25">
      <c r="A25" t="s">
        <v>130</v>
      </c>
    </row>
    <row r="26" spans="1:2" x14ac:dyDescent="0.25">
      <c r="A26" t="s">
        <v>131</v>
      </c>
    </row>
  </sheetData>
  <pageMargins left="0.7" right="0.7" top="0.78740157499999996" bottom="0.78740157499999996"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E599D-0FF1-4A97-A076-084F556F1815}">
  <sheetPr codeName="Tabelle3"/>
  <dimension ref="A1:O5"/>
  <sheetViews>
    <sheetView workbookViewId="0">
      <selection activeCell="C6" sqref="C6"/>
    </sheetView>
  </sheetViews>
  <sheetFormatPr baseColWidth="10" defaultRowHeight="15.75" x14ac:dyDescent="0.25"/>
  <cols>
    <col min="1" max="16384" width="11.42578125" style="25"/>
  </cols>
  <sheetData>
    <row r="1" spans="1:15" x14ac:dyDescent="0.25">
      <c r="A1" s="25" t="s">
        <v>132</v>
      </c>
      <c r="B1" s="25" t="s">
        <v>133</v>
      </c>
      <c r="C1" s="25" t="s">
        <v>134</v>
      </c>
      <c r="D1" s="25" t="s">
        <v>135</v>
      </c>
      <c r="E1" s="25" t="s">
        <v>136</v>
      </c>
      <c r="F1" s="25" t="s">
        <v>137</v>
      </c>
      <c r="G1" s="25" t="s">
        <v>138</v>
      </c>
      <c r="H1" s="25" t="s">
        <v>139</v>
      </c>
      <c r="I1" s="25" t="s">
        <v>140</v>
      </c>
      <c r="J1" s="25" t="s">
        <v>141</v>
      </c>
      <c r="K1" s="25" t="s">
        <v>142</v>
      </c>
      <c r="L1" s="25" t="s">
        <v>143</v>
      </c>
      <c r="M1" s="25" t="s">
        <v>144</v>
      </c>
      <c r="N1" s="25" t="s">
        <v>145</v>
      </c>
      <c r="O1" s="25" t="s">
        <v>146</v>
      </c>
    </row>
    <row r="2" spans="1:15" x14ac:dyDescent="0.25">
      <c r="A2" s="25" t="s">
        <v>147</v>
      </c>
      <c r="B2" s="25" t="s">
        <v>148</v>
      </c>
      <c r="C2" s="25" t="s">
        <v>261</v>
      </c>
      <c r="D2" s="25" t="s">
        <v>149</v>
      </c>
      <c r="E2" s="25" t="s">
        <v>150</v>
      </c>
      <c r="F2" s="25" t="s">
        <v>151</v>
      </c>
      <c r="G2" s="25" t="s">
        <v>152</v>
      </c>
      <c r="H2" s="25" t="s">
        <v>153</v>
      </c>
      <c r="I2" s="25" t="s">
        <v>154</v>
      </c>
      <c r="J2" s="25" t="s">
        <v>155</v>
      </c>
      <c r="K2" s="25" t="s">
        <v>156</v>
      </c>
      <c r="L2" s="25" t="s">
        <v>157</v>
      </c>
      <c r="M2" s="25" t="s">
        <v>158</v>
      </c>
      <c r="N2" s="25" t="s">
        <v>159</v>
      </c>
      <c r="O2" s="25" t="s">
        <v>160</v>
      </c>
    </row>
    <row r="3" spans="1:15" x14ac:dyDescent="0.25">
      <c r="A3" s="25" t="s">
        <v>147</v>
      </c>
      <c r="B3" s="25" t="s">
        <v>148</v>
      </c>
      <c r="C3" s="25" t="s">
        <v>261</v>
      </c>
      <c r="D3" s="25" t="s">
        <v>149</v>
      </c>
      <c r="E3" s="25" t="s">
        <v>150</v>
      </c>
      <c r="F3" s="25" t="s">
        <v>161</v>
      </c>
      <c r="G3" s="25" t="s">
        <v>162</v>
      </c>
      <c r="H3" s="25" t="s">
        <v>163</v>
      </c>
      <c r="I3" s="25" t="s">
        <v>164</v>
      </c>
      <c r="J3" s="25" t="s">
        <v>165</v>
      </c>
      <c r="K3" s="25" t="s">
        <v>166</v>
      </c>
      <c r="L3" s="25" t="s">
        <v>167</v>
      </c>
      <c r="M3" s="25" t="s">
        <v>168</v>
      </c>
      <c r="N3" s="25" t="s">
        <v>169</v>
      </c>
      <c r="O3" s="25" t="s">
        <v>170</v>
      </c>
    </row>
    <row r="4" spans="1:15" x14ac:dyDescent="0.25">
      <c r="A4" s="25" t="s">
        <v>147</v>
      </c>
      <c r="B4" s="25" t="s">
        <v>148</v>
      </c>
      <c r="C4" s="25" t="s">
        <v>261</v>
      </c>
      <c r="D4" s="25" t="s">
        <v>149</v>
      </c>
      <c r="E4" s="25" t="s">
        <v>150</v>
      </c>
      <c r="F4" s="25" t="s">
        <v>162</v>
      </c>
      <c r="G4" s="25" t="s">
        <v>171</v>
      </c>
      <c r="H4" s="25" t="s">
        <v>172</v>
      </c>
      <c r="I4" s="25" t="s">
        <v>173</v>
      </c>
      <c r="J4" s="25" t="s">
        <v>174</v>
      </c>
      <c r="K4" s="25" t="s">
        <v>175</v>
      </c>
      <c r="L4" s="25" t="s">
        <v>176</v>
      </c>
      <c r="M4" s="25" t="s">
        <v>177</v>
      </c>
      <c r="N4" s="25" t="s">
        <v>178</v>
      </c>
      <c r="O4" s="25" t="s">
        <v>179</v>
      </c>
    </row>
    <row r="5" spans="1:15" x14ac:dyDescent="0.25">
      <c r="A5" s="25" t="s">
        <v>147</v>
      </c>
      <c r="B5" s="25" t="s">
        <v>148</v>
      </c>
      <c r="C5" s="25" t="s">
        <v>261</v>
      </c>
      <c r="D5" s="25" t="s">
        <v>149</v>
      </c>
      <c r="E5" s="25" t="s">
        <v>150</v>
      </c>
      <c r="F5" s="25" t="s">
        <v>171</v>
      </c>
      <c r="G5" s="25" t="s">
        <v>180</v>
      </c>
      <c r="H5" s="25" t="s">
        <v>181</v>
      </c>
      <c r="I5" s="25" t="s">
        <v>182</v>
      </c>
      <c r="J5" s="25" t="s">
        <v>183</v>
      </c>
      <c r="K5" s="25" t="s">
        <v>184</v>
      </c>
      <c r="L5" s="25" t="s">
        <v>185</v>
      </c>
      <c r="M5" s="25" t="s">
        <v>186</v>
      </c>
      <c r="N5" s="25" t="s">
        <v>187</v>
      </c>
      <c r="O5" s="25" t="s">
        <v>188</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10</vt:i4>
      </vt:variant>
    </vt:vector>
  </HeadingPairs>
  <TitlesOfParts>
    <vt:vector size="10" baseType="lpstr">
      <vt:lpstr>Gen_output</vt:lpstr>
      <vt:lpstr>Intro</vt:lpstr>
      <vt:lpstr>Solution</vt:lpstr>
      <vt:lpstr>Aux-Calc</vt:lpstr>
      <vt:lpstr>Rnd_Matrix</vt:lpstr>
      <vt:lpstr>Dataset</vt:lpstr>
      <vt:lpstr>Evaluation</vt:lpstr>
      <vt:lpstr>Responses</vt:lpstr>
      <vt:lpstr>Help</vt:lpstr>
      <vt:lpstr>BE 4233 2 Demo Test Ducks are a</vt:lpstr>
    </vt:vector>
  </TitlesOfParts>
  <Company>Hochschule Rhein-Waal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JF</dc:creator>
  <cp:lastModifiedBy>Fensterle, Joachim</cp:lastModifiedBy>
  <cp:lastPrinted>2021-06-28T11:12:05Z</cp:lastPrinted>
  <dcterms:created xsi:type="dcterms:W3CDTF">2021-02-05T14:43:16Z</dcterms:created>
  <dcterms:modified xsi:type="dcterms:W3CDTF">2025-03-18T15:47:08Z</dcterms:modified>
</cp:coreProperties>
</file>