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E53F2555-84C1-486C-872B-215BF642D0CA}" xr6:coauthVersionLast="47" xr6:coauthVersionMax="47" xr10:uidLastSave="{00000000-0000-0000-0000-000000000000}"/>
  <bookViews>
    <workbookView xWindow="2730" yWindow="60" windowWidth="21780" windowHeight="13185" xr2:uid="{00000000-000D-0000-FFFF-FFFF00000000}"/>
  </bookViews>
  <sheets>
    <sheet name="Gen_output" sheetId="1" r:id="rId1"/>
    <sheet name="Intro" sheetId="2" r:id="rId2"/>
    <sheet name="Solution" sheetId="8" r:id="rId3"/>
    <sheet name="Aux-Calc" sheetId="5" r:id="rId4"/>
    <sheet name="Rnd_Matrix" sheetId="12" r:id="rId5"/>
    <sheet name="Dataset" sheetId="7" r:id="rId6"/>
    <sheet name="Evaluation" sheetId="9" r:id="rId7"/>
    <sheet name="Responses" sheetId="11" r:id="rId8"/>
    <sheet name="Help" sheetId="6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8" l="1"/>
  <c r="H12" i="8" l="1"/>
  <c r="E11" i="8"/>
  <c r="H11" i="8" l="1"/>
  <c r="E14" i="8"/>
  <c r="E6" i="8"/>
  <c r="E17" i="8" s="1"/>
  <c r="H14" i="8" l="1"/>
  <c r="B3" i="8" s="1"/>
</calcChain>
</file>

<file path=xl/sharedStrings.xml><?xml version="1.0" encoding="utf-8"?>
<sst xmlns="http://schemas.openxmlformats.org/spreadsheetml/2006/main" count="183" uniqueCount="145">
  <si>
    <t>Text</t>
  </si>
  <si>
    <t>-</t>
  </si>
  <si>
    <t>Header:</t>
  </si>
  <si>
    <t>Variable name</t>
  </si>
  <si>
    <t>Lower limit</t>
  </si>
  <si>
    <t>Upper limit</t>
  </si>
  <si>
    <t>Rnd</t>
  </si>
  <si>
    <t>Points</t>
  </si>
  <si>
    <t>Help with respect to setting up sheet</t>
  </si>
  <si>
    <t>Sig. Digits</t>
  </si>
  <si>
    <t>Rnd-Form</t>
  </si>
  <si>
    <t>Number</t>
  </si>
  <si>
    <t>Value</t>
  </si>
  <si>
    <t>Limits ok?</t>
  </si>
  <si>
    <t>Random Datasets</t>
  </si>
  <si>
    <t>Number sets</t>
  </si>
  <si>
    <t>Respect limits</t>
  </si>
  <si>
    <t>cave: initial value of limits must be true!</t>
  </si>
  <si>
    <t>Random Cloze calculated questions generator</t>
  </si>
  <si>
    <t>Filepath</t>
  </si>
  <si>
    <t>Filename</t>
  </si>
  <si>
    <t>include number</t>
  </si>
  <si>
    <t>includes dataset number as last "question"</t>
  </si>
  <si>
    <t>Exp Up</t>
  </si>
  <si>
    <t>Exp Lo</t>
  </si>
  <si>
    <t>Def digits</t>
  </si>
  <si>
    <t>Type [Moodle formula, Text or Hidden]</t>
  </si>
  <si>
    <t>Error Tolerance 100%</t>
  </si>
  <si>
    <t>Error Tolerance 50%</t>
  </si>
  <si>
    <t>(0%: will be ignored)</t>
  </si>
  <si>
    <t>(required!)</t>
  </si>
  <si>
    <t>Question Name</t>
  </si>
  <si>
    <t>generalfeedback</t>
  </si>
  <si>
    <t>penalty</t>
  </si>
  <si>
    <t>0.33333</t>
  </si>
  <si>
    <t>hidden</t>
  </si>
  <si>
    <t>0</t>
  </si>
  <si>
    <t>idnumber</t>
  </si>
  <si>
    <t>hint</t>
  </si>
  <si>
    <t>html</t>
  </si>
  <si>
    <t>shownumcorrect</t>
  </si>
  <si>
    <t>tag</t>
  </si>
  <si>
    <t>clearwrong</t>
  </si>
  <si>
    <t>Type (do not touch!)</t>
  </si>
  <si>
    <t>Feedback (don not touch)!</t>
  </si>
  <si>
    <t>Content (cave: text only for non-tag fields!)</t>
  </si>
  <si>
    <t>(0: transfer only)</t>
  </si>
  <si>
    <t>Hidden?</t>
  </si>
  <si>
    <t>Full solution</t>
  </si>
  <si>
    <t>NM</t>
  </si>
  <si>
    <t>&lt;b&gt;Background:&lt;/b&gt;&lt;/p&gt;&lt;p&gt;</t>
  </si>
  <si>
    <t>MC</t>
  </si>
  <si>
    <t>Solution sheet</t>
  </si>
  <si>
    <t>Intro</t>
  </si>
  <si>
    <t>The intro might contain two types of variables: a random variable or a normal variable.</t>
  </si>
  <si>
    <t>To obtain a random variable, include a lower and upper limit. Variables (or formulas) without lower limit will not be changed.</t>
  </si>
  <si>
    <t>General</t>
  </si>
  <si>
    <t>If you attribute a variable name to a number (Intro + Solution), it will be transfered to the dataset.</t>
  </si>
  <si>
    <t>If the variable has a lower limit (Intro), it will be generated randomly.</t>
  </si>
  <si>
    <t>If (and only if) numbers have "significant digits" (Intro + Solution), they will be converted to text with the appropriate appearance.</t>
  </si>
  <si>
    <t>If your "rnd-field" contains a formula, do neither include variable names or upper and lower limits. If you want to display it in the list, just include it in solutions as hidden with variable name.</t>
  </si>
  <si>
    <t>&lt;h3&gt;Questions:&lt;/h3&gt;&lt;/p&gt;&lt;p&gt;Please give your results with 4 significant digits. Take care about the units!!!</t>
  </si>
  <si>
    <t>sub</t>
  </si>
  <si>
    <t>If you want to re-calculate the results according to the interims results of the students, use the solution sheet.</t>
  </si>
  <si>
    <t>For the transfer: y students refers to the column number, where the actual result is found.</t>
  </si>
  <si>
    <t>The way results are treated depend on the type:</t>
  </si>
  <si>
    <t>numerical results are transfered and can be used for follow up calculations</t>
  </si>
  <si>
    <t>is set true, if student uses substitute value</t>
  </si>
  <si>
    <t>For MC(S) fields, the response of the student is compared with the correct response (from the moodle extracted data!) and the result (true / false) is transfered into the solution sheet</t>
  </si>
  <si>
    <t>not required, if no evaluation of resposes</t>
  </si>
  <si>
    <t>no evaluation - responses not imported</t>
  </si>
  <si>
    <t>not required -  especially for simple calculations. But usually recommended!</t>
  </si>
  <si>
    <t>Welcome to your appartment!</t>
  </si>
  <si>
    <t xml:space="preserve">and xxx m, </t>
  </si>
  <si>
    <t xml:space="preserve">Your appartment has two rooms. Room A has sides with the lenght of xxx m </t>
  </si>
  <si>
    <t xml:space="preserve">room B has sides with the length of xxx m </t>
  </si>
  <si>
    <t>A1</t>
  </si>
  <si>
    <t>A2</t>
  </si>
  <si>
    <t>B1</t>
  </si>
  <si>
    <t>B2</t>
  </si>
  <si>
    <t>A</t>
  </si>
  <si>
    <t>B</t>
  </si>
  <si>
    <t xml:space="preserve">Room A [m&lt;sup&gt;2&lt;/sup&gt;]: </t>
  </si>
  <si>
    <t xml:space="preserve">Area appartment [m&lt;sup&gt;2&lt;/sup&gt;]: </t>
  </si>
  <si>
    <t>App</t>
  </si>
  <si>
    <t>Hidden</t>
  </si>
  <si>
    <t>Check if A&gt;B.</t>
  </si>
  <si>
    <t>AvsB</t>
  </si>
  <si>
    <t>HTML export type</t>
  </si>
  <si>
    <t>(options: individual or mixed, only relevant for HTML export, not for moodle questions)</t>
  </si>
  <si>
    <t>ID number HTML export</t>
  </si>
  <si>
    <t>&lt;/p&gt;&lt;p&gt;&lt;b&gt;c) How would you judge the size of the appartment?&lt;/b&gt;&lt;/p&gt;&lt;p&gt;</t>
  </si>
  <si>
    <t xml:space="preserve">In my opinion, the area of this appartment is </t>
  </si>
  <si>
    <t>&lt;p&gt;Hint: appartments for students are considered large, if their size exceeds 35 m&lt;sup&gt;2&lt;/sup&gt;.&lt;/p&gt;&lt;p&gt;</t>
  </si>
  <si>
    <t>HTML_Comment</t>
  </si>
  <si>
    <t>&lt;!-- xx Individual xx 1 xx --&gt;</t>
  </si>
  <si>
    <t>Resp</t>
  </si>
  <si>
    <t>ImgLink</t>
  </si>
  <si>
    <t>https://i.ibb.co/b2B067p/Ente1.jpg</t>
  </si>
  <si>
    <t>https://i.ibb.co/7RTLJsV/Ente2.jpg</t>
  </si>
  <si>
    <t>https://i.ibb.co/CMMt43W/Ente3.jpg</t>
  </si>
  <si>
    <t>Generic</t>
  </si>
  <si>
    <t>1</t>
  </si>
  <si>
    <t>I</t>
  </si>
  <si>
    <t>x</t>
  </si>
  <si>
    <t>2</t>
  </si>
  <si>
    <t>II</t>
  </si>
  <si>
    <t>k</t>
  </si>
  <si>
    <t>a</t>
  </si>
  <si>
    <t>i</t>
  </si>
  <si>
    <t>b</t>
  </si>
  <si>
    <t>h</t>
  </si>
  <si>
    <t>&lt;!-- xx Einfach so nen Kommentar, denn jetzt kommt die Ente xx --&gt;</t>
  </si>
  <si>
    <t>In one room lives a duck, depicted in the following picture: &lt;/p&gt;&lt;p&gt;</t>
  </si>
  <si>
    <t>and xxx m.&lt;/p&gt;&lt;p&gt;</t>
  </si>
  <si>
    <t>&lt;img src="##ImgLink;" alt="Ente" width="348" height = "400" role="presentation" class="img-fluid"&gt;</t>
  </si>
  <si>
    <t>random substitutions</t>
  </si>
  <si>
    <t>(max number of randomized substitutions from table Rnd_Matrix, 0: no substitutions performed)</t>
  </si>
  <si>
    <t>&lt;!-- xx Einfach nochmal so nen Kommentar, weil jetzt die Enten kommen xx --&gt;</t>
  </si>
  <si>
    <t>&lt;/p&gt;&lt;p&gt;&lt;b&gt;d) What about the duck in your appartment?&lt;/b&gt;&lt;/p&gt;&lt;p&gt;</t>
  </si>
  <si>
    <t xml:space="preserve">Please tick the correct statements: </t>
  </si>
  <si>
    <t>Example appartment V3</t>
  </si>
  <si>
    <t>%50%##1; contains more red then ##2;. ~%-100%##3; and ##2; are located on the top of the duck. ~%50%##3; does not seem to be realistically drawn.</t>
  </si>
  <si>
    <t>appartment examplev3 new.xml</t>
  </si>
  <si>
    <t xml:space="preserve"> {1:MC:large ~=small}</t>
  </si>
  <si>
    <t>5.6</t>
  </si>
  <si>
    <t>5</t>
  </si>
  <si>
    <t>&lt;/p&gt;&lt;p&gt;&lt;b&gt;a) What is the area of your appartment?&lt;/b&gt;&lt;/p&gt;&lt;p&gt;</t>
  </si>
  <si>
    <t>TableStart</t>
  </si>
  <si>
    <t>Room</t>
  </si>
  <si>
    <t>Area</t>
  </si>
  <si>
    <t xml:space="preserve">Room B [m&lt;sup&gt;2&lt;/sup&gt;]: </t>
  </si>
  <si>
    <t>TableEnd</t>
  </si>
  <si>
    <t xml:space="preserve"> {0:TableStart:}</t>
  </si>
  <si>
    <t xml:space="preserve"> {0:TableEnd:}</t>
  </si>
  <si>
    <t>2.8</t>
  </si>
  <si>
    <t>4</t>
  </si>
  <si>
    <t xml:space="preserve"> {2:NM:=25.2:0.38~%50%25.2:1~999999}</t>
  </si>
  <si>
    <t>MRHS</t>
  </si>
  <si>
    <t xml:space="preserve"> {1:MRHS:%50%##1; contains more red then ##2;. ~%-100%##3; and ##2; are located on the top of the duck. ~%50%##3; does not seem to be realistically drawn.}</t>
  </si>
  <si>
    <t>&lt;/p&gt;&lt;p&gt;&lt;b&gt;b) Interim results&lt;/b&gt;&lt;/p&gt;&lt;p&gt;Plese put your interim results in the following table:&lt;/p&gt;&lt;p&gt;</t>
  </si>
  <si>
    <t xml:space="preserve"> {1:NM:=11.2:0.17~%50%11.2:0.45~999999}</t>
  </si>
  <si>
    <t>2.5</t>
  </si>
  <si>
    <t xml:space="preserve"> {1:NM:=14:0.21~%50%14:0.56~999999}</t>
  </si>
  <si>
    <t>\\Mac\Home\Documents\Lehre\Sonstiges\Moodle Randomized\Excel Current\xml\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</si>
</sst>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9" fontId="0" fillId="0" borderId="0" xfId="0" quotePrefix="1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2" borderId="1" xfId="0" quotePrefix="1" applyFill="1" applyBorder="1"/>
    <xf numFmtId="49" fontId="0" fillId="0" borderId="0" xfId="0" applyNumberFormat="1"/>
    <xf numFmtId="49" fontId="0" fillId="2" borderId="1" xfId="0" applyNumberFormat="1" applyFill="1" applyBorder="1"/>
    <xf numFmtId="49" fontId="0" fillId="2" borderId="1" xfId="0" quotePrefix="1" applyNumberFormat="1" applyFill="1" applyBorder="1"/>
    <xf numFmtId="164" fontId="0" fillId="0" borderId="0" xfId="0" applyNumberFormat="1"/>
    <xf numFmtId="0" fontId="0" fillId="3" borderId="0" xfId="0" quotePrefix="1" applyFill="1"/>
    <xf numFmtId="0" fontId="0" fillId="0" borderId="0" xfId="0" applyFill="1"/>
    <xf numFmtId="11" fontId="0" fillId="0" borderId="0" xfId="0" applyNumberFormat="1"/>
    <xf numFmtId="0" fontId="0" fillId="0" borderId="0" xfId="0" applyFont="1"/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4" fillId="0" borderId="0" xfId="2" applyFont="1"/>
    <xf numFmtId="0" fontId="5" fillId="0" borderId="0" xfId="0" applyFont="1"/>
    <xf numFmtId="0" fontId="6" fillId="0" borderId="0" xfId="0" applyFont="1"/>
    <xf numFmtId="0" fontId="6" fillId="0" borderId="0" xfId="0" quotePrefix="1" applyFont="1"/>
    <xf numFmtId="2" fontId="0" fillId="2" borderId="1" xfId="0" quotePrefix="1" applyNumberFormat="1" applyFill="1" applyBorder="1"/>
    <xf numFmtId="0" fontId="0" fillId="4" borderId="0" xfId="0" applyFill="1" applyAlignment="1"/>
    <xf numFmtId="0" fontId="0" fillId="4" borderId="1" xfId="0" applyFill="1" applyBorder="1"/>
    <xf numFmtId="0" fontId="0" fillId="4" borderId="0" xfId="0" applyFill="1"/>
    <xf numFmtId="0" fontId="7" fillId="0" borderId="0" xfId="3"/>
    <xf numFmtId="0" fontId="0" fillId="0" borderId="1" xfId="0" applyFill="1" applyBorder="1"/>
  </cellXfs>
  <cellStyles count="4">
    <cellStyle name="Link" xfId="3" builtinId="8"/>
    <cellStyle name="Standard" xfId="0" builtinId="0"/>
    <cellStyle name="Standard 2" xfId="1" xr:uid="{00000000-0005-0000-0000-000002000000}"/>
    <cellStyle name="Standard 3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1743075</xdr:colOff>
          <xdr:row>1</xdr:row>
          <xdr:rowOff>19050</xdr:rowOff>
        </xdr:from>
        <xdr:to>
          <xdr:col>1</xdr:col>
          <xdr:colOff>3324225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85725</xdr:rowOff>
        </xdr:from>
        <xdr:to>
          <xdr:col>5</xdr:col>
          <xdr:colOff>666750</xdr:colOff>
          <xdr:row>2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Random Datasets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file:///\\Mac\Home\Documents\Lehre\Sonstiges\Moodle%20Randomized\Excel%20Current\xml\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.ibb.co/CMMt43W/Ente3.jpg" TargetMode="External"/><Relationship Id="rId2" Type="http://schemas.openxmlformats.org/officeDocument/2006/relationships/hyperlink" Target="https://i.ibb.co/7RTLJsV/Ente2.jpg" TargetMode="External"/><Relationship Id="rId1" Type="http://schemas.openxmlformats.org/officeDocument/2006/relationships/hyperlink" Target="https://i.ibb.co/b2B067p/Ente1.jpg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32"/>
  <sheetViews>
    <sheetView tabSelected="1" zoomScale="115" zoomScaleNormal="115" workbookViewId="0">
      <selection activeCell="B8" sqref="B8"/>
    </sheetView>
  </sheetViews>
  <sheetFormatPr baseColWidth="10" defaultRowHeight="15" x14ac:dyDescent="0.25"/>
  <cols>
    <col min="1" max="1" width="20.140625" customWidth="1"/>
    <col min="2" max="2" width="51.140625" customWidth="1"/>
    <col min="3" max="3" width="19.28515625" customWidth="1"/>
    <col min="4" max="4" width="17.5703125" customWidth="1"/>
  </cols>
  <sheetData>
    <row r="1" spans="1:4" x14ac:dyDescent="0.25">
      <c r="A1" s="1" t="s">
        <v>18</v>
      </c>
    </row>
    <row r="2" spans="1:4" x14ac:dyDescent="0.25">
      <c r="B2" s="2" t="s">
        <v>1</v>
      </c>
    </row>
    <row r="4" spans="1:4" x14ac:dyDescent="0.25">
      <c r="A4" t="s">
        <v>31</v>
      </c>
      <c r="B4" t="s">
        <v>121</v>
      </c>
    </row>
    <row r="5" spans="1:4" x14ac:dyDescent="0.25">
      <c r="A5" t="s">
        <v>19</v>
      </c>
      <c r="B5" s="28" t="s">
        <v>144</v>
      </c>
    </row>
    <row r="6" spans="1:4" x14ac:dyDescent="0.25">
      <c r="A6" t="s">
        <v>20</v>
      </c>
      <c r="B6" t="s">
        <v>123</v>
      </c>
    </row>
    <row r="7" spans="1:4" x14ac:dyDescent="0.25">
      <c r="A7" t="s">
        <v>21</v>
      </c>
      <c r="B7" t="b">
        <v>0</v>
      </c>
      <c r="C7" t="s">
        <v>22</v>
      </c>
    </row>
    <row r="8" spans="1:4" x14ac:dyDescent="0.25">
      <c r="A8" t="s">
        <v>23</v>
      </c>
      <c r="B8">
        <v>4</v>
      </c>
    </row>
    <row r="9" spans="1:4" x14ac:dyDescent="0.25">
      <c r="A9" t="s">
        <v>24</v>
      </c>
      <c r="B9">
        <v>-2</v>
      </c>
    </row>
    <row r="10" spans="1:4" x14ac:dyDescent="0.25">
      <c r="A10" t="s">
        <v>25</v>
      </c>
      <c r="B10">
        <v>4</v>
      </c>
      <c r="D10" s="2"/>
    </row>
    <row r="11" spans="1:4" x14ac:dyDescent="0.25">
      <c r="A11" t="s">
        <v>27</v>
      </c>
      <c r="B11" s="12">
        <v>1.4999999999999999E-2</v>
      </c>
      <c r="C11" t="s">
        <v>30</v>
      </c>
      <c r="D11" s="2"/>
    </row>
    <row r="12" spans="1:4" x14ac:dyDescent="0.25">
      <c r="A12" t="s">
        <v>28</v>
      </c>
      <c r="B12" s="12">
        <v>0.04</v>
      </c>
      <c r="C12" t="s">
        <v>29</v>
      </c>
      <c r="D12" s="2"/>
    </row>
    <row r="13" spans="1:4" x14ac:dyDescent="0.25">
      <c r="D13" s="2"/>
    </row>
    <row r="16" spans="1:4" x14ac:dyDescent="0.25">
      <c r="A16" t="s">
        <v>44</v>
      </c>
      <c r="B16" t="s">
        <v>45</v>
      </c>
      <c r="C16" t="s">
        <v>43</v>
      </c>
      <c r="D16" s="2"/>
    </row>
    <row r="17" spans="1:4" x14ac:dyDescent="0.25">
      <c r="A17" t="s">
        <v>32</v>
      </c>
      <c r="C17" t="s">
        <v>39</v>
      </c>
      <c r="D17" s="2"/>
    </row>
    <row r="18" spans="1:4" x14ac:dyDescent="0.25">
      <c r="A18" t="s">
        <v>33</v>
      </c>
      <c r="B18" s="2" t="s">
        <v>34</v>
      </c>
      <c r="C18" s="4"/>
      <c r="D18" s="2"/>
    </row>
    <row r="19" spans="1:4" x14ac:dyDescent="0.25">
      <c r="A19" t="s">
        <v>35</v>
      </c>
      <c r="B19" s="2" t="s">
        <v>36</v>
      </c>
      <c r="C19" s="2"/>
      <c r="D19" s="2"/>
    </row>
    <row r="20" spans="1:4" x14ac:dyDescent="0.25">
      <c r="A20" t="s">
        <v>37</v>
      </c>
      <c r="B20" s="13" t="s">
        <v>126</v>
      </c>
      <c r="D20" s="2"/>
    </row>
    <row r="21" spans="1:4" x14ac:dyDescent="0.25">
      <c r="A21" t="s">
        <v>38</v>
      </c>
      <c r="B21" s="2"/>
      <c r="C21" t="s">
        <v>39</v>
      </c>
      <c r="D21" s="2"/>
    </row>
    <row r="22" spans="1:4" x14ac:dyDescent="0.25">
      <c r="A22" t="s">
        <v>40</v>
      </c>
      <c r="B22">
        <v>0</v>
      </c>
      <c r="C22" t="s">
        <v>41</v>
      </c>
      <c r="D22" s="2"/>
    </row>
    <row r="23" spans="1:4" x14ac:dyDescent="0.25">
      <c r="A23" t="s">
        <v>42</v>
      </c>
      <c r="B23">
        <v>0</v>
      </c>
      <c r="C23" t="s">
        <v>41</v>
      </c>
    </row>
    <row r="24" spans="1:4" x14ac:dyDescent="0.25">
      <c r="A24" t="s">
        <v>38</v>
      </c>
      <c r="C24" t="s">
        <v>39</v>
      </c>
      <c r="D24" s="2"/>
    </row>
    <row r="25" spans="1:4" x14ac:dyDescent="0.25">
      <c r="A25" t="s">
        <v>40</v>
      </c>
      <c r="B25">
        <v>0</v>
      </c>
      <c r="C25" t="s">
        <v>41</v>
      </c>
      <c r="D25" s="2"/>
    </row>
    <row r="26" spans="1:4" x14ac:dyDescent="0.25">
      <c r="A26" t="s">
        <v>42</v>
      </c>
      <c r="B26">
        <v>0</v>
      </c>
      <c r="C26" t="s">
        <v>41</v>
      </c>
    </row>
    <row r="29" spans="1:4" x14ac:dyDescent="0.25">
      <c r="A29" t="s">
        <v>88</v>
      </c>
      <c r="B29" t="s">
        <v>95</v>
      </c>
      <c r="C29" t="s">
        <v>89</v>
      </c>
    </row>
    <row r="30" spans="1:4" x14ac:dyDescent="0.25">
      <c r="A30" t="s">
        <v>90</v>
      </c>
      <c r="B30">
        <v>9</v>
      </c>
    </row>
    <row r="32" spans="1:4" x14ac:dyDescent="0.25">
      <c r="A32" t="s">
        <v>116</v>
      </c>
      <c r="B32">
        <v>3</v>
      </c>
      <c r="C32" t="s">
        <v>117</v>
      </c>
    </row>
  </sheetData>
  <hyperlinks>
    <hyperlink ref="B5" r:id="rId1" xr:uid="{6C9FB8F9-8A56-4C9C-A1BF-83B538C86EF2}"/>
  </hyperlinks>
  <pageMargins left="0.7" right="0.7" top="0.78740157499999996" bottom="0.78740157499999996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</xdr:col>
                <xdr:colOff>1743075</xdr:colOff>
                <xdr:row>1</xdr:row>
                <xdr:rowOff>19050</xdr:rowOff>
              </from>
              <to>
                <xdr:col>1</xdr:col>
                <xdr:colOff>3324225</xdr:colOff>
                <xdr:row>2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11"/>
  <sheetViews>
    <sheetView zoomScale="110" zoomScaleNormal="110" workbookViewId="0">
      <selection activeCell="D8" sqref="D8"/>
    </sheetView>
  </sheetViews>
  <sheetFormatPr baseColWidth="10" defaultRowHeight="15" x14ac:dyDescent="0.25"/>
  <cols>
    <col min="2" max="2" width="84" style="3" customWidth="1"/>
    <col min="3" max="3" width="11.42578125" style="9"/>
  </cols>
  <sheetData>
    <row r="1" spans="1:8" x14ac:dyDescent="0.25">
      <c r="A1" t="s">
        <v>2</v>
      </c>
      <c r="B1" s="3" t="s">
        <v>72</v>
      </c>
    </row>
    <row r="3" spans="1:8" x14ac:dyDescent="0.25">
      <c r="A3" s="5" t="s">
        <v>47</v>
      </c>
      <c r="B3" s="6" t="s">
        <v>0</v>
      </c>
      <c r="C3" s="10" t="s">
        <v>10</v>
      </c>
      <c r="D3" s="7" t="s">
        <v>6</v>
      </c>
      <c r="E3" s="5" t="s">
        <v>4</v>
      </c>
      <c r="F3" s="5" t="s">
        <v>5</v>
      </c>
      <c r="G3" s="5" t="s">
        <v>9</v>
      </c>
      <c r="H3" s="5" t="s">
        <v>3</v>
      </c>
    </row>
    <row r="4" spans="1:8" x14ac:dyDescent="0.25">
      <c r="A4" s="5"/>
      <c r="B4" s="6" t="s">
        <v>50</v>
      </c>
      <c r="C4" s="10"/>
      <c r="D4" s="7"/>
      <c r="E4" s="5"/>
      <c r="F4" s="5"/>
      <c r="G4" s="5"/>
      <c r="H4" s="5"/>
    </row>
    <row r="5" spans="1:8" x14ac:dyDescent="0.25">
      <c r="A5" s="5"/>
      <c r="B5" s="6" t="s">
        <v>74</v>
      </c>
      <c r="C5" s="11" t="s">
        <v>125</v>
      </c>
      <c r="D5" s="7">
        <v>5.6</v>
      </c>
      <c r="E5" s="5">
        <v>4</v>
      </c>
      <c r="F5" s="5">
        <v>8</v>
      </c>
      <c r="G5" s="5">
        <v>2</v>
      </c>
      <c r="H5" s="5" t="s">
        <v>76</v>
      </c>
    </row>
    <row r="6" spans="1:8" x14ac:dyDescent="0.25">
      <c r="A6" s="5"/>
      <c r="B6" s="6" t="s">
        <v>73</v>
      </c>
      <c r="C6" s="11" t="s">
        <v>142</v>
      </c>
      <c r="D6" s="7">
        <v>2.5</v>
      </c>
      <c r="E6" s="5">
        <v>2</v>
      </c>
      <c r="F6" s="5">
        <v>5</v>
      </c>
      <c r="G6" s="5">
        <v>2</v>
      </c>
      <c r="H6" s="5" t="s">
        <v>77</v>
      </c>
    </row>
    <row r="7" spans="1:8" x14ac:dyDescent="0.25">
      <c r="A7" s="5"/>
      <c r="B7" s="6" t="s">
        <v>75</v>
      </c>
      <c r="C7" s="11" t="s">
        <v>136</v>
      </c>
      <c r="D7" s="7">
        <v>4</v>
      </c>
      <c r="E7" s="5">
        <v>2</v>
      </c>
      <c r="F7" s="5">
        <v>6</v>
      </c>
      <c r="G7" s="5">
        <v>2</v>
      </c>
      <c r="H7" s="5" t="s">
        <v>78</v>
      </c>
    </row>
    <row r="8" spans="1:8" x14ac:dyDescent="0.25">
      <c r="A8" s="5"/>
      <c r="B8" s="6" t="s">
        <v>114</v>
      </c>
      <c r="C8" s="11" t="s">
        <v>135</v>
      </c>
      <c r="D8" s="7">
        <v>2.8</v>
      </c>
      <c r="E8" s="5">
        <v>2</v>
      </c>
      <c r="F8" s="5">
        <v>4</v>
      </c>
      <c r="G8" s="5">
        <v>2</v>
      </c>
      <c r="H8" s="5" t="s">
        <v>79</v>
      </c>
    </row>
    <row r="9" spans="1:8" x14ac:dyDescent="0.25">
      <c r="A9" s="5" t="s">
        <v>94</v>
      </c>
      <c r="B9" s="6" t="s">
        <v>112</v>
      </c>
      <c r="C9" s="11"/>
      <c r="D9" s="7"/>
      <c r="E9" s="5"/>
      <c r="F9" s="5"/>
      <c r="G9" s="5"/>
      <c r="H9" s="5"/>
    </row>
    <row r="10" spans="1:8" x14ac:dyDescent="0.25">
      <c r="A10" s="5"/>
      <c r="B10" s="6" t="s">
        <v>113</v>
      </c>
      <c r="C10" s="11"/>
      <c r="D10" s="7"/>
      <c r="E10" s="5"/>
      <c r="F10" s="5"/>
      <c r="G10" s="5"/>
      <c r="H10" s="5"/>
    </row>
    <row r="11" spans="1:8" ht="30" x14ac:dyDescent="0.25">
      <c r="A11" s="5"/>
      <c r="B11" s="6" t="s">
        <v>115</v>
      </c>
      <c r="C11" s="11"/>
      <c r="D11" s="7"/>
      <c r="E11" s="5"/>
      <c r="F11" s="5"/>
      <c r="G11" s="5"/>
      <c r="H11" s="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J20"/>
  <sheetViews>
    <sheetView zoomScaleNormal="100" workbookViewId="0">
      <selection activeCell="C7" sqref="C7"/>
    </sheetView>
  </sheetViews>
  <sheetFormatPr baseColWidth="10" defaultRowHeight="15" x14ac:dyDescent="0.25"/>
  <cols>
    <col min="2" max="2" width="18.28515625" customWidth="1"/>
    <col min="3" max="3" width="84" style="3" customWidth="1"/>
    <col min="4" max="4" width="11.42578125" style="9"/>
  </cols>
  <sheetData>
    <row r="1" spans="1:10" x14ac:dyDescent="0.25">
      <c r="A1" t="s">
        <v>2</v>
      </c>
      <c r="B1" t="s">
        <v>61</v>
      </c>
    </row>
    <row r="2" spans="1:10" x14ac:dyDescent="0.25">
      <c r="B2" s="2"/>
    </row>
    <row r="3" spans="1:10" x14ac:dyDescent="0.25">
      <c r="A3" t="s">
        <v>13</v>
      </c>
      <c r="B3" s="25" t="b">
        <f>AND(H11:H14)</f>
        <v>1</v>
      </c>
      <c r="C3" s="9"/>
      <c r="D3"/>
    </row>
    <row r="4" spans="1:10" x14ac:dyDescent="0.25">
      <c r="A4" s="5" t="s">
        <v>26</v>
      </c>
      <c r="B4" s="5" t="s">
        <v>7</v>
      </c>
      <c r="C4" s="6" t="s">
        <v>0</v>
      </c>
      <c r="D4" s="10" t="s">
        <v>10</v>
      </c>
      <c r="E4" s="7" t="s">
        <v>12</v>
      </c>
      <c r="F4" s="5" t="s">
        <v>4</v>
      </c>
      <c r="G4" s="5" t="s">
        <v>5</v>
      </c>
      <c r="H4" s="5" t="s">
        <v>13</v>
      </c>
      <c r="I4" s="5" t="s">
        <v>9</v>
      </c>
      <c r="J4" s="5" t="s">
        <v>3</v>
      </c>
    </row>
    <row r="5" spans="1:10" x14ac:dyDescent="0.25">
      <c r="A5" s="5" t="s">
        <v>0</v>
      </c>
      <c r="B5" s="5"/>
      <c r="C5" s="6" t="s">
        <v>127</v>
      </c>
      <c r="D5" s="7"/>
      <c r="E5" s="24"/>
      <c r="F5" s="5"/>
      <c r="G5" s="5"/>
      <c r="H5" s="5"/>
      <c r="I5" s="5"/>
      <c r="J5" s="5"/>
    </row>
    <row r="6" spans="1:10" x14ac:dyDescent="0.25">
      <c r="A6" s="5" t="s">
        <v>49</v>
      </c>
      <c r="B6" s="5">
        <v>2</v>
      </c>
      <c r="C6" s="6" t="s">
        <v>83</v>
      </c>
      <c r="D6" s="11" t="s">
        <v>137</v>
      </c>
      <c r="E6" s="24">
        <f>E11+E12</f>
        <v>25.2</v>
      </c>
      <c r="F6" s="5"/>
      <c r="G6" s="5"/>
      <c r="H6" s="5"/>
      <c r="I6" s="5">
        <v>4</v>
      </c>
      <c r="J6" s="5" t="s">
        <v>84</v>
      </c>
    </row>
    <row r="7" spans="1:10" ht="30" x14ac:dyDescent="0.25">
      <c r="A7" s="5" t="s">
        <v>0</v>
      </c>
      <c r="B7" s="5"/>
      <c r="C7" s="6" t="s">
        <v>140</v>
      </c>
      <c r="D7" s="8"/>
      <c r="E7" s="8"/>
      <c r="F7" s="5"/>
      <c r="G7" s="5"/>
      <c r="H7" s="5"/>
      <c r="I7" s="5"/>
      <c r="J7" s="5"/>
    </row>
    <row r="8" spans="1:10" x14ac:dyDescent="0.25">
      <c r="A8" s="5" t="s">
        <v>128</v>
      </c>
      <c r="B8" s="5"/>
      <c r="C8" s="6">
        <v>2</v>
      </c>
      <c r="D8" s="8" t="s">
        <v>133</v>
      </c>
      <c r="E8" s="8"/>
      <c r="F8" s="5"/>
      <c r="G8" s="5"/>
      <c r="H8" s="5"/>
      <c r="I8" s="5"/>
      <c r="J8" s="5"/>
    </row>
    <row r="9" spans="1:10" x14ac:dyDescent="0.25">
      <c r="A9" s="5" t="s">
        <v>0</v>
      </c>
      <c r="B9" s="5"/>
      <c r="C9" s="6" t="s">
        <v>129</v>
      </c>
      <c r="D9" s="8"/>
      <c r="E9" s="8"/>
      <c r="F9" s="5"/>
      <c r="G9" s="5"/>
      <c r="H9" s="5"/>
      <c r="I9" s="5"/>
      <c r="J9" s="5"/>
    </row>
    <row r="10" spans="1:10" x14ac:dyDescent="0.25">
      <c r="A10" s="5" t="s">
        <v>0</v>
      </c>
      <c r="B10" s="5"/>
      <c r="C10" s="6" t="s">
        <v>130</v>
      </c>
      <c r="D10" s="8"/>
      <c r="E10" s="8"/>
      <c r="F10" s="5"/>
      <c r="G10" s="5"/>
      <c r="H10" s="5"/>
      <c r="I10" s="5"/>
      <c r="J10" s="5"/>
    </row>
    <row r="11" spans="1:10" x14ac:dyDescent="0.25">
      <c r="A11" s="5" t="s">
        <v>49</v>
      </c>
      <c r="B11" s="5">
        <v>1</v>
      </c>
      <c r="C11" s="6" t="s">
        <v>82</v>
      </c>
      <c r="D11" s="8" t="s">
        <v>143</v>
      </c>
      <c r="E11" s="24">
        <f>Intro!D5*Intro!D6</f>
        <v>14</v>
      </c>
      <c r="F11" s="26">
        <v>5</v>
      </c>
      <c r="G11" s="26">
        <v>30</v>
      </c>
      <c r="H11" s="26" t="b">
        <f>AND(E11&gt;=F11,E11&lt;=G11)</f>
        <v>1</v>
      </c>
      <c r="I11" s="5">
        <v>4</v>
      </c>
      <c r="J11" s="5" t="s">
        <v>80</v>
      </c>
    </row>
    <row r="12" spans="1:10" x14ac:dyDescent="0.25">
      <c r="A12" s="5" t="s">
        <v>49</v>
      </c>
      <c r="B12" s="5">
        <v>1</v>
      </c>
      <c r="C12" s="6" t="s">
        <v>131</v>
      </c>
      <c r="D12" s="8" t="s">
        <v>141</v>
      </c>
      <c r="E12" s="24">
        <f>Intro!D7*Intro!D8</f>
        <v>11.2</v>
      </c>
      <c r="F12" s="26">
        <v>5</v>
      </c>
      <c r="G12" s="26">
        <v>30</v>
      </c>
      <c r="H12" s="26" t="b">
        <f t="shared" ref="H12:H14" si="0">AND(E12&gt;=F12,E12&lt;=G12)</f>
        <v>1</v>
      </c>
      <c r="I12" s="5">
        <v>4</v>
      </c>
      <c r="J12" s="5" t="s">
        <v>81</v>
      </c>
    </row>
    <row r="13" spans="1:10" x14ac:dyDescent="0.25">
      <c r="A13" s="5" t="s">
        <v>132</v>
      </c>
      <c r="B13" s="5"/>
      <c r="D13" s="8" t="s">
        <v>134</v>
      </c>
      <c r="E13" s="24"/>
      <c r="F13" s="29"/>
      <c r="G13" s="29"/>
      <c r="H13" s="29"/>
      <c r="I13" s="5"/>
      <c r="J13" s="5"/>
    </row>
    <row r="14" spans="1:10" x14ac:dyDescent="0.25">
      <c r="A14" s="26" t="s">
        <v>85</v>
      </c>
      <c r="B14" s="5"/>
      <c r="C14" s="6" t="s">
        <v>86</v>
      </c>
      <c r="D14" s="8"/>
      <c r="E14" s="24">
        <f>E11-E12</f>
        <v>2.8000000000000007</v>
      </c>
      <c r="F14" s="26">
        <v>0</v>
      </c>
      <c r="G14" s="26">
        <v>30</v>
      </c>
      <c r="H14" s="26" t="b">
        <f t="shared" si="0"/>
        <v>1</v>
      </c>
      <c r="I14" s="5"/>
      <c r="J14" s="5" t="s">
        <v>87</v>
      </c>
    </row>
    <row r="15" spans="1:10" x14ac:dyDescent="0.25">
      <c r="A15" s="5" t="s">
        <v>0</v>
      </c>
      <c r="B15" s="5"/>
      <c r="C15" s="6" t="s">
        <v>91</v>
      </c>
      <c r="D15" s="7"/>
      <c r="E15" s="24"/>
      <c r="F15" s="5"/>
      <c r="G15" s="5"/>
      <c r="H15" s="5"/>
      <c r="I15" s="5"/>
      <c r="J15" s="5"/>
    </row>
    <row r="16" spans="1:10" ht="30" x14ac:dyDescent="0.25">
      <c r="A16" s="5" t="s">
        <v>0</v>
      </c>
      <c r="B16" s="5"/>
      <c r="C16" s="6" t="s">
        <v>93</v>
      </c>
      <c r="D16" s="7"/>
      <c r="E16" s="24"/>
      <c r="F16" s="5"/>
      <c r="G16" s="5"/>
      <c r="H16" s="5"/>
      <c r="I16" s="5"/>
      <c r="J16" s="5"/>
    </row>
    <row r="17" spans="1:10" x14ac:dyDescent="0.25">
      <c r="A17" s="5" t="s">
        <v>51</v>
      </c>
      <c r="B17" s="5">
        <v>1</v>
      </c>
      <c r="C17" s="6" t="s">
        <v>92</v>
      </c>
      <c r="D17" s="11" t="s">
        <v>124</v>
      </c>
      <c r="E17" s="24" t="str">
        <f>IF(E6&gt;35,"=large ~small","large ~=small")</f>
        <v>large ~=small</v>
      </c>
      <c r="F17" s="5"/>
      <c r="G17" s="5"/>
      <c r="H17" s="5"/>
      <c r="I17" s="5"/>
      <c r="J17" s="5"/>
    </row>
    <row r="18" spans="1:10" x14ac:dyDescent="0.25">
      <c r="A18" s="5" t="s">
        <v>94</v>
      </c>
      <c r="C18" s="6" t="s">
        <v>118</v>
      </c>
      <c r="D18" s="11"/>
      <c r="E18" s="24"/>
      <c r="F18" s="5"/>
      <c r="G18" s="5"/>
      <c r="H18" s="5"/>
      <c r="I18" s="5"/>
      <c r="J18" s="5"/>
    </row>
    <row r="19" spans="1:10" x14ac:dyDescent="0.25">
      <c r="A19" s="5" t="s">
        <v>0</v>
      </c>
      <c r="B19" s="5"/>
      <c r="C19" s="6" t="s">
        <v>119</v>
      </c>
      <c r="D19" s="7"/>
      <c r="E19" s="24"/>
      <c r="F19" s="5"/>
      <c r="G19" s="5"/>
      <c r="H19" s="5"/>
      <c r="I19" s="5"/>
      <c r="J19" s="5"/>
    </row>
    <row r="20" spans="1:10" x14ac:dyDescent="0.25">
      <c r="A20" s="5" t="s">
        <v>138</v>
      </c>
      <c r="B20" s="5">
        <v>1</v>
      </c>
      <c r="C20" s="6" t="s">
        <v>120</v>
      </c>
      <c r="D20" s="7" t="s">
        <v>139</v>
      </c>
      <c r="E20" s="24" t="s">
        <v>122</v>
      </c>
      <c r="F20" s="5"/>
      <c r="G20" s="5"/>
      <c r="H20" s="5"/>
      <c r="I20" s="5"/>
      <c r="J20" s="5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:N84"/>
  <sheetViews>
    <sheetView zoomScale="80" zoomScaleNormal="80" workbookViewId="0">
      <selection activeCell="B2" sqref="B2"/>
    </sheetView>
  </sheetViews>
  <sheetFormatPr baseColWidth="10" defaultRowHeight="15" x14ac:dyDescent="0.25"/>
  <cols>
    <col min="2" max="2" width="12" bestFit="1" customWidth="1"/>
    <col min="5" max="5" width="12.7109375" bestFit="1" customWidth="1"/>
  </cols>
  <sheetData>
    <row r="1" spans="1:14" x14ac:dyDescent="0.25">
      <c r="A1" s="1" t="s">
        <v>48</v>
      </c>
    </row>
    <row r="2" spans="1:14" x14ac:dyDescent="0.25">
      <c r="A2" t="s">
        <v>71</v>
      </c>
    </row>
    <row r="3" spans="1:14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</row>
    <row r="4" spans="1:14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N4" s="1"/>
    </row>
    <row r="5" spans="1:14" x14ac:dyDescent="0.25">
      <c r="A5" s="22"/>
      <c r="B5" s="22"/>
      <c r="C5" s="22"/>
      <c r="D5" s="23"/>
      <c r="E5" s="23"/>
      <c r="F5" s="22"/>
      <c r="G5" s="23"/>
      <c r="H5" s="22"/>
      <c r="I5" s="22"/>
      <c r="J5" s="23"/>
    </row>
    <row r="6" spans="1:1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</row>
    <row r="7" spans="1:1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</row>
    <row r="8" spans="1:14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</row>
    <row r="9" spans="1:14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</row>
    <row r="10" spans="1:14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</row>
    <row r="11" spans="1:1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</row>
    <row r="12" spans="1:14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</row>
    <row r="13" spans="1:14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</row>
    <row r="14" spans="1:14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</row>
    <row r="17" spans="1:3" x14ac:dyDescent="0.25">
      <c r="A17" s="1"/>
    </row>
    <row r="18" spans="1:3" x14ac:dyDescent="0.25">
      <c r="A18" s="16"/>
    </row>
    <row r="25" spans="1:3" x14ac:dyDescent="0.25">
      <c r="B25" s="18"/>
    </row>
    <row r="27" spans="1:3" x14ac:dyDescent="0.25">
      <c r="C27" s="2"/>
    </row>
    <row r="29" spans="1:3" x14ac:dyDescent="0.25">
      <c r="C29" s="15"/>
    </row>
    <row r="33" spans="2:3" x14ac:dyDescent="0.25">
      <c r="C33" s="2"/>
    </row>
    <row r="34" spans="2:3" x14ac:dyDescent="0.25">
      <c r="B34" s="18"/>
      <c r="C34" s="2"/>
    </row>
    <row r="35" spans="2:3" x14ac:dyDescent="0.25">
      <c r="B35" s="18"/>
      <c r="C35" s="2"/>
    </row>
    <row r="39" spans="2:3" x14ac:dyDescent="0.25">
      <c r="B39" s="18"/>
    </row>
    <row r="40" spans="2:3" x14ac:dyDescent="0.25">
      <c r="B40" s="18"/>
    </row>
    <row r="42" spans="2:3" x14ac:dyDescent="0.25">
      <c r="C42" s="18"/>
    </row>
    <row r="43" spans="2:3" x14ac:dyDescent="0.25">
      <c r="C43" s="18"/>
    </row>
    <row r="44" spans="2:3" x14ac:dyDescent="0.25">
      <c r="C44" s="18"/>
    </row>
    <row r="46" spans="2:3" x14ac:dyDescent="0.25">
      <c r="B46" s="19"/>
    </row>
    <row r="47" spans="2:3" x14ac:dyDescent="0.25">
      <c r="B47" s="19"/>
    </row>
    <row r="48" spans="2:3" x14ac:dyDescent="0.25">
      <c r="B48" s="18"/>
      <c r="C48" s="18"/>
    </row>
    <row r="52" spans="1:4" x14ac:dyDescent="0.25">
      <c r="C52" s="18"/>
    </row>
    <row r="57" spans="1:4" x14ac:dyDescent="0.25">
      <c r="B57" s="15"/>
    </row>
    <row r="58" spans="1:4" x14ac:dyDescent="0.25">
      <c r="B58" s="15"/>
    </row>
    <row r="60" spans="1:4" x14ac:dyDescent="0.25">
      <c r="D60" s="15"/>
    </row>
    <row r="64" spans="1:4" x14ac:dyDescent="0.25">
      <c r="A64" s="1"/>
    </row>
    <row r="69" spans="2:3" x14ac:dyDescent="0.25">
      <c r="B69" s="18"/>
    </row>
    <row r="71" spans="2:3" x14ac:dyDescent="0.25">
      <c r="C71" s="2"/>
    </row>
    <row r="73" spans="2:3" x14ac:dyDescent="0.25">
      <c r="C73" s="15"/>
    </row>
    <row r="77" spans="2:3" x14ac:dyDescent="0.25">
      <c r="C77" s="2"/>
    </row>
    <row r="78" spans="2:3" x14ac:dyDescent="0.25">
      <c r="B78" s="18"/>
      <c r="C78" s="2"/>
    </row>
    <row r="79" spans="2:3" x14ac:dyDescent="0.25">
      <c r="B79" s="18"/>
      <c r="C79" s="2"/>
    </row>
    <row r="83" spans="2:3" x14ac:dyDescent="0.25">
      <c r="B83" s="18"/>
    </row>
    <row r="84" spans="2:3" x14ac:dyDescent="0.25">
      <c r="B84" s="18"/>
      <c r="C84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I7"/>
  <sheetViews>
    <sheetView workbookViewId="0">
      <selection activeCell="F13" sqref="F13"/>
    </sheetView>
  </sheetViews>
  <sheetFormatPr baseColWidth="10" defaultRowHeight="15" x14ac:dyDescent="0.25"/>
  <sheetData>
    <row r="1" spans="1:9" x14ac:dyDescent="0.25">
      <c r="A1" t="s">
        <v>96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97</v>
      </c>
      <c r="B2" s="28" t="s">
        <v>98</v>
      </c>
      <c r="C2" s="28" t="s">
        <v>99</v>
      </c>
      <c r="D2" s="28" t="s">
        <v>100</v>
      </c>
    </row>
    <row r="3" spans="1:9" x14ac:dyDescent="0.25">
      <c r="A3" t="s">
        <v>101</v>
      </c>
    </row>
    <row r="4" spans="1:9" x14ac:dyDescent="0.25">
      <c r="A4">
        <v>1</v>
      </c>
      <c r="B4" s="2" t="s">
        <v>102</v>
      </c>
      <c r="C4" t="s">
        <v>103</v>
      </c>
      <c r="D4" s="2" t="s">
        <v>104</v>
      </c>
    </row>
    <row r="5" spans="1:9" x14ac:dyDescent="0.25">
      <c r="A5">
        <v>2</v>
      </c>
      <c r="B5" s="2" t="s">
        <v>105</v>
      </c>
      <c r="C5" t="s">
        <v>106</v>
      </c>
      <c r="D5" s="2" t="s">
        <v>107</v>
      </c>
    </row>
    <row r="6" spans="1:9" x14ac:dyDescent="0.25">
      <c r="A6">
        <v>3</v>
      </c>
      <c r="B6" s="2" t="s">
        <v>80</v>
      </c>
      <c r="C6" t="s">
        <v>108</v>
      </c>
      <c r="D6" s="2" t="s">
        <v>109</v>
      </c>
    </row>
    <row r="7" spans="1:9" x14ac:dyDescent="0.25">
      <c r="A7">
        <v>4</v>
      </c>
      <c r="B7" s="2" t="s">
        <v>81</v>
      </c>
      <c r="C7" t="s">
        <v>110</v>
      </c>
      <c r="D7" s="2" t="s">
        <v>111</v>
      </c>
    </row>
  </sheetData>
  <hyperlinks>
    <hyperlink ref="B2" r:id="rId1" xr:uid="{00000000-0004-0000-0300-000000000000}"/>
    <hyperlink ref="C2" r:id="rId2" xr:uid="{00000000-0004-0000-0300-000001000000}"/>
    <hyperlink ref="D2" r:id="rId3" xr:uid="{00000000-0004-0000-0300-000002000000}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/>
  <dimension ref="A1:R14"/>
  <sheetViews>
    <sheetView zoomScaleNormal="100" workbookViewId="0">
      <selection activeCell="H8" sqref="H8"/>
    </sheetView>
  </sheetViews>
  <sheetFormatPr baseColWidth="10" defaultRowHeight="15" x14ac:dyDescent="0.25"/>
  <cols>
    <col min="1" max="1" width="15" customWidth="1"/>
  </cols>
  <sheetData>
    <row r="1" spans="1:18" x14ac:dyDescent="0.25">
      <c r="A1" t="s">
        <v>14</v>
      </c>
    </row>
    <row r="2" spans="1:18" x14ac:dyDescent="0.25">
      <c r="A2" t="s">
        <v>15</v>
      </c>
      <c r="B2">
        <v>5</v>
      </c>
      <c r="C2" t="s">
        <v>46</v>
      </c>
    </row>
    <row r="3" spans="1:18" x14ac:dyDescent="0.25">
      <c r="A3" t="s">
        <v>16</v>
      </c>
      <c r="B3" s="27" t="b">
        <v>1</v>
      </c>
      <c r="C3" t="s">
        <v>17</v>
      </c>
    </row>
    <row r="5" spans="1:18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</row>
    <row r="6" spans="1:18" x14ac:dyDescent="0.25">
      <c r="A6" t="s">
        <v>11</v>
      </c>
      <c r="B6" t="s">
        <v>76</v>
      </c>
      <c r="C6" t="s">
        <v>77</v>
      </c>
      <c r="D6" t="s">
        <v>78</v>
      </c>
      <c r="E6" t="s">
        <v>79</v>
      </c>
      <c r="F6" t="s">
        <v>84</v>
      </c>
      <c r="G6" t="s">
        <v>80</v>
      </c>
      <c r="H6" t="s">
        <v>81</v>
      </c>
    </row>
    <row r="7" spans="1:18" x14ac:dyDescent="0.25">
      <c r="A7">
        <v>1</v>
      </c>
      <c r="B7">
        <v>5.3</v>
      </c>
      <c r="C7">
        <v>4.3</v>
      </c>
      <c r="D7">
        <v>2.9</v>
      </c>
      <c r="E7">
        <v>3.1</v>
      </c>
      <c r="F7">
        <v>31.78</v>
      </c>
      <c r="G7">
        <v>22.79</v>
      </c>
      <c r="H7">
        <v>8.99</v>
      </c>
    </row>
    <row r="8" spans="1:18" x14ac:dyDescent="0.25">
      <c r="A8">
        <v>2</v>
      </c>
      <c r="B8">
        <v>5.9</v>
      </c>
      <c r="C8">
        <v>3.2</v>
      </c>
      <c r="D8">
        <v>2.8</v>
      </c>
      <c r="E8">
        <v>4</v>
      </c>
      <c r="F8">
        <v>30.080000000000002</v>
      </c>
      <c r="G8">
        <v>18.880000000000003</v>
      </c>
      <c r="H8" s="14">
        <v>11.2</v>
      </c>
    </row>
    <row r="9" spans="1:18" x14ac:dyDescent="0.25">
      <c r="A9">
        <v>3</v>
      </c>
      <c r="B9">
        <v>5.6</v>
      </c>
      <c r="C9">
        <v>3</v>
      </c>
      <c r="D9">
        <v>4.3</v>
      </c>
      <c r="E9">
        <v>3.2</v>
      </c>
      <c r="F9" s="14">
        <v>30.559999999999995</v>
      </c>
      <c r="G9">
        <v>16.799999999999997</v>
      </c>
      <c r="H9">
        <v>13.76</v>
      </c>
    </row>
    <row r="10" spans="1:18" x14ac:dyDescent="0.25">
      <c r="A10">
        <v>4</v>
      </c>
      <c r="B10">
        <v>6.6</v>
      </c>
      <c r="C10">
        <v>4.2</v>
      </c>
      <c r="D10">
        <v>3.6</v>
      </c>
      <c r="E10">
        <v>3.1</v>
      </c>
      <c r="F10">
        <v>38.879999999999995</v>
      </c>
      <c r="G10">
        <v>27.72</v>
      </c>
      <c r="H10">
        <v>11.16</v>
      </c>
    </row>
    <row r="11" spans="1:18" x14ac:dyDescent="0.25">
      <c r="A11">
        <v>5</v>
      </c>
      <c r="B11">
        <v>5.6</v>
      </c>
      <c r="C11">
        <v>2.5</v>
      </c>
      <c r="D11">
        <v>4</v>
      </c>
      <c r="E11">
        <v>2.8</v>
      </c>
      <c r="F11">
        <v>25.2</v>
      </c>
      <c r="G11">
        <v>14</v>
      </c>
      <c r="H11">
        <v>11.2</v>
      </c>
    </row>
    <row r="14" spans="1:18" x14ac:dyDescent="0.25">
      <c r="H14" s="1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_Rand_Sets">
                <anchor moveWithCells="1" sizeWithCells="1">
                  <from>
                    <xdr:col>3</xdr:col>
                    <xdr:colOff>276225</xdr:colOff>
                    <xdr:row>0</xdr:row>
                    <xdr:rowOff>85725</xdr:rowOff>
                  </from>
                  <to>
                    <xdr:col>5</xdr:col>
                    <xdr:colOff>666750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F23"/>
  <sheetViews>
    <sheetView workbookViewId="0">
      <selection activeCell="B3" sqref="B3"/>
    </sheetView>
  </sheetViews>
  <sheetFormatPr baseColWidth="10" defaultRowHeight="15" x14ac:dyDescent="0.25"/>
  <cols>
    <col min="1" max="1" width="44.28515625" customWidth="1"/>
  </cols>
  <sheetData>
    <row r="1" spans="1:6" x14ac:dyDescent="0.25">
      <c r="A1" s="1" t="s">
        <v>52</v>
      </c>
    </row>
    <row r="3" spans="1:6" x14ac:dyDescent="0.25">
      <c r="A3" t="s">
        <v>69</v>
      </c>
    </row>
    <row r="9" spans="1:6" x14ac:dyDescent="0.25">
      <c r="D9" s="15"/>
      <c r="E9" s="15"/>
      <c r="F9" s="15"/>
    </row>
    <row r="10" spans="1:6" x14ac:dyDescent="0.25">
      <c r="C10" s="1"/>
      <c r="D10" s="15"/>
      <c r="F10" s="15"/>
    </row>
    <row r="11" spans="1:6" x14ac:dyDescent="0.25">
      <c r="D11" s="17"/>
      <c r="E11" s="17"/>
      <c r="F11" s="17"/>
    </row>
    <row r="12" spans="1:6" x14ac:dyDescent="0.25">
      <c r="F12" s="15"/>
    </row>
    <row r="13" spans="1:6" x14ac:dyDescent="0.25">
      <c r="F13" s="15"/>
    </row>
    <row r="14" spans="1:6" x14ac:dyDescent="0.25">
      <c r="D14" s="16"/>
      <c r="F14" s="15"/>
    </row>
    <row r="15" spans="1:6" x14ac:dyDescent="0.25">
      <c r="F15" s="15"/>
    </row>
    <row r="16" spans="1:6" x14ac:dyDescent="0.25">
      <c r="D16" s="17"/>
      <c r="E16" s="17"/>
      <c r="F16" s="15"/>
    </row>
    <row r="17" spans="3:6" x14ac:dyDescent="0.25">
      <c r="D17" s="15"/>
      <c r="E17" s="15"/>
      <c r="F17" s="15"/>
    </row>
    <row r="18" spans="3:6" x14ac:dyDescent="0.25">
      <c r="D18" s="15"/>
      <c r="F18" s="15"/>
    </row>
    <row r="19" spans="3:6" x14ac:dyDescent="0.25">
      <c r="F19" s="15"/>
    </row>
    <row r="20" spans="3:6" x14ac:dyDescent="0.25">
      <c r="C20" s="1"/>
      <c r="F20" s="15"/>
    </row>
    <row r="21" spans="3:6" x14ac:dyDescent="0.25">
      <c r="D21" s="15"/>
      <c r="F21" s="15"/>
    </row>
    <row r="22" spans="3:6" x14ac:dyDescent="0.25">
      <c r="D22" s="15"/>
      <c r="F22" s="15"/>
    </row>
    <row r="23" spans="3:6" x14ac:dyDescent="0.25">
      <c r="F23" s="1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"/>
  <sheetViews>
    <sheetView zoomScale="70" zoomScaleNormal="70" workbookViewId="0">
      <pane xSplit="1" ySplit="4" topLeftCell="B5" activePane="bottomRight" state="frozen"/>
      <selection pane="topRight" activeCell="C1" sqref="C1"/>
      <selection pane="bottomLeft" activeCell="A5" sqref="A5"/>
      <selection pane="bottomRight" activeCell="D8" sqref="D8"/>
    </sheetView>
  </sheetViews>
  <sheetFormatPr baseColWidth="10" defaultColWidth="11.42578125" defaultRowHeight="15.75" x14ac:dyDescent="0.25"/>
  <cols>
    <col min="1" max="16384" width="11.42578125" style="20"/>
  </cols>
  <sheetData>
    <row r="1" spans="1:1" x14ac:dyDescent="0.25">
      <c r="A1" s="20" t="s">
        <v>70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B20"/>
  <sheetViews>
    <sheetView workbookViewId="0">
      <selection activeCell="A20" sqref="A20"/>
    </sheetView>
  </sheetViews>
  <sheetFormatPr baseColWidth="10" defaultRowHeight="15" x14ac:dyDescent="0.25"/>
  <sheetData>
    <row r="1" spans="1:1" x14ac:dyDescent="0.25">
      <c r="A1" s="1" t="s">
        <v>8</v>
      </c>
    </row>
    <row r="3" spans="1:1" x14ac:dyDescent="0.25">
      <c r="A3" s="1" t="s">
        <v>56</v>
      </c>
    </row>
    <row r="4" spans="1:1" x14ac:dyDescent="0.25">
      <c r="A4" t="s">
        <v>57</v>
      </c>
    </row>
    <row r="5" spans="1:1" x14ac:dyDescent="0.25">
      <c r="A5" t="s">
        <v>58</v>
      </c>
    </row>
    <row r="6" spans="1:1" x14ac:dyDescent="0.25">
      <c r="A6" t="s">
        <v>59</v>
      </c>
    </row>
    <row r="9" spans="1:1" x14ac:dyDescent="0.25">
      <c r="A9" s="1" t="s">
        <v>53</v>
      </c>
    </row>
    <row r="10" spans="1:1" x14ac:dyDescent="0.25">
      <c r="A10" t="s">
        <v>54</v>
      </c>
    </row>
    <row r="11" spans="1:1" x14ac:dyDescent="0.25">
      <c r="A11" t="s">
        <v>55</v>
      </c>
    </row>
    <row r="12" spans="1:1" x14ac:dyDescent="0.25">
      <c r="A12" t="s">
        <v>60</v>
      </c>
    </row>
    <row r="14" spans="1:1" x14ac:dyDescent="0.25">
      <c r="A14" s="1" t="s">
        <v>52</v>
      </c>
    </row>
    <row r="15" spans="1:1" x14ac:dyDescent="0.25">
      <c r="A15" t="s">
        <v>63</v>
      </c>
    </row>
    <row r="16" spans="1:1" x14ac:dyDescent="0.25">
      <c r="A16" t="s">
        <v>64</v>
      </c>
    </row>
    <row r="17" spans="1:2" x14ac:dyDescent="0.25">
      <c r="A17" t="s">
        <v>65</v>
      </c>
    </row>
    <row r="18" spans="1:2" x14ac:dyDescent="0.25">
      <c r="A18" t="s">
        <v>49</v>
      </c>
      <c r="B18" t="s">
        <v>66</v>
      </c>
    </row>
    <row r="19" spans="1:2" x14ac:dyDescent="0.25">
      <c r="A19" t="s">
        <v>62</v>
      </c>
      <c r="B19" t="s">
        <v>67</v>
      </c>
    </row>
    <row r="20" spans="1:2" x14ac:dyDescent="0.25">
      <c r="A20" t="s">
        <v>51</v>
      </c>
      <c r="B20" t="s">
        <v>68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Gen_output</vt:lpstr>
      <vt:lpstr>Intro</vt:lpstr>
      <vt:lpstr>Solution</vt:lpstr>
      <vt:lpstr>Aux-Calc</vt:lpstr>
      <vt:lpstr>Rnd_Matrix</vt:lpstr>
      <vt:lpstr>Dataset</vt:lpstr>
      <vt:lpstr>Evaluation</vt:lpstr>
      <vt:lpstr>Responses</vt:lpstr>
      <vt:lpstr>Help</vt:lpstr>
    </vt:vector>
  </TitlesOfParts>
  <Company>Hochschule Rhein-Waal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Fensterle, Joachim</cp:lastModifiedBy>
  <cp:lastPrinted>2021-06-28T11:12:05Z</cp:lastPrinted>
  <dcterms:created xsi:type="dcterms:W3CDTF">2021-02-05T14:43:16Z</dcterms:created>
  <dcterms:modified xsi:type="dcterms:W3CDTF">2025-03-05T18:00:29Z</dcterms:modified>
</cp:coreProperties>
</file>